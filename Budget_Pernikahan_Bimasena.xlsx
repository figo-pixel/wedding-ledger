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1" hidden="1">'Budget'!$A$3:$H$51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&quot; bln&quot;"/>
  </numFmts>
  <fonts count="25">
    <font>
      <name val="Calibri"/>
      <family val="2"/>
      <color theme="1"/>
      <sz val="11"/>
      <scheme val="minor"/>
    </font>
    <font>
      <name val="Arial"/>
      <b val="1"/>
      <color rgb="002F5496"/>
      <sz val="15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808080"/>
      <sz val="9"/>
    </font>
    <font>
      <name val="Arial"/>
      <color rgb="0044546A"/>
      <sz val="9"/>
    </font>
    <font>
      <name val="Arial"/>
      <color rgb="00222222"/>
      <sz val="10"/>
    </font>
    <font>
      <name val="Arial"/>
      <b val="1"/>
      <color rgb="00C0392B"/>
      <sz val="9"/>
    </font>
    <font>
      <name val="Arial"/>
      <color rgb="00222222"/>
      <sz val="9"/>
    </font>
    <font>
      <name val="Arial"/>
      <b val="1"/>
      <color rgb="00B7791F"/>
      <sz val="9"/>
    </font>
    <font>
      <name val="Arial"/>
      <b val="1"/>
      <color rgb="002E7D32"/>
      <sz val="9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b val="1"/>
      <color rgb="002E7D32"/>
      <sz val="11"/>
    </font>
    <font>
      <name val="Arial"/>
      <b val="1"/>
      <color rgb="002E7D32"/>
      <sz val="12"/>
    </font>
    <font>
      <name val="Arial"/>
      <b val="1"/>
      <color rgb="00C0392B"/>
      <sz val="11"/>
    </font>
    <font>
      <name val="Arial"/>
      <b val="1"/>
      <color rgb="00C0392B"/>
      <sz val="12"/>
    </font>
    <font>
      <name val="Arial"/>
      <b val="1"/>
      <color rgb="002F5496"/>
      <sz val="16"/>
    </font>
    <font>
      <name val="Arial"/>
      <color rgb="0044546A"/>
      <sz val="10"/>
    </font>
    <font>
      <name val="Arial"/>
      <b val="1"/>
      <color rgb="002F5496"/>
      <sz val="12"/>
    </font>
    <font>
      <name val="Arial"/>
      <b val="1"/>
      <color rgb="002F5496"/>
      <sz val="11"/>
    </font>
    <font>
      <name val="Arial"/>
      <b val="1"/>
      <color rgb="0044546A"/>
      <sz val="11"/>
    </font>
    <font>
      <name val="Arial"/>
      <b val="1"/>
      <color rgb="00FFFFFF"/>
      <sz val="9"/>
    </font>
    <font>
      <name val="Arial"/>
      <color rgb="00808080"/>
      <sz val="10"/>
    </font>
    <font>
      <name val="Arial"/>
      <b val="1"/>
      <color rgb="0044546A"/>
      <sz val="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DE3EC"/>
      </patternFill>
    </fill>
    <fill>
      <patternFill patternType="solid">
        <fgColor rgb="00F2F5FA"/>
      </patternFill>
    </fill>
    <fill>
      <patternFill patternType="solid">
        <fgColor rgb="00FFF7DA"/>
      </patternFill>
    </fill>
    <fill>
      <patternFill patternType="solid">
        <fgColor rgb="00FBE9E7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thin">
        <color rgb="00D0D0D0"/>
      </bottom>
    </border>
    <border>
      <top style="medium">
        <color rgb="009AA5B5"/>
      </top>
      <bottom style="medium">
        <color rgb="009AA5B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18" fillId="4" borderId="1" applyAlignment="1" pivotButton="0" quotePrefix="0" xfId="0">
      <alignment horizontal="left" vertical="center" wrapText="1"/>
    </xf>
    <xf numFmtId="164" fontId="19" fillId="4" borderId="1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0" fontId="21" fillId="0" borderId="0" pivotButton="0" quotePrefix="0" xfId="0"/>
    <xf numFmtId="0" fontId="22" fillId="2" borderId="1" pivotButton="0" quotePrefix="0" xfId="0"/>
    <xf numFmtId="0" fontId="6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3" borderId="3" applyAlignment="1" pivotButton="0" quotePrefix="0" xfId="0">
      <alignment horizontal="right" vertical="center"/>
    </xf>
    <xf numFmtId="0" fontId="0" fillId="3" borderId="3" pivotButton="0" quotePrefix="0" xfId="0"/>
    <xf numFmtId="164" fontId="12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right" vertical="center"/>
    </xf>
    <xf numFmtId="164" fontId="14" fillId="3" borderId="3" applyAlignment="1" pivotButton="0" quotePrefix="0" xfId="0">
      <alignment horizontal="right" vertical="center"/>
    </xf>
    <xf numFmtId="0" fontId="15" fillId="3" borderId="3" applyAlignment="1" pivotButton="0" quotePrefix="0" xfId="0">
      <alignment horizontal="right" vertical="center"/>
    </xf>
    <xf numFmtId="164" fontId="16" fillId="3" borderId="3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 wrapText="1"/>
    </xf>
    <xf numFmtId="164" fontId="23" fillId="0" borderId="2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Anggaran per kategori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'Ringkasan'!$B$12:$B$23</f>
            </numRef>
          </cat>
          <val>
            <numRef>
              <f>'Ringkasan'!$C$12:$C$23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pembayaran</a:t>
            </a:r>
          </a:p>
        </rich>
      </tx>
    </title>
    <plotArea>
      <pieChart>
        <varyColors val="1"/>
        <ser>
          <idx val="0"/>
          <order val="0"/>
          <tx>
            <strRef>
              <f>'Ringkasan'!F11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'Ringkasan'!$E$12:$E$14</f>
            </numRef>
          </cat>
          <val>
            <numRef>
              <f>'Ringkasan'!$F$12:$F$14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Siapa membayar</a:t>
            </a:r>
          </a:p>
        </rich>
      </tx>
    </title>
    <plotArea>
      <pieChart>
        <varyColors val="1"/>
        <ser>
          <idx val="0"/>
          <order val="0"/>
          <tx>
            <strRef>
              <f>'Ringkasan'!F17</f>
            </strRef>
          </tx>
          <spPr>
            <a:ln xmlns:a="http://schemas.openxmlformats.org/drawingml/2006/main">
              <a:prstDash val="solid"/>
            </a:ln>
          </spPr>
          <cat>
            <numRef>
              <f>'Ringkasan'!$E$18:$E$20</f>
            </numRef>
          </cat>
          <val>
            <numRef>
              <f>'Ringkasan'!$F$18:$F$20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Runway menabung (Rp)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'Timeline'!$B$5:$B$32</f>
            </numRef>
          </cat>
          <val>
            <numRef>
              <f>'Timeline'!$C$5:$C$32</f>
            </numRef>
          </val>
        </ser>
        <ser>
          <idx val="1"/>
          <order val="1"/>
          <tx>
            <strRef>
              <f>'Timeline'!D4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'Timeline'!$B$5:$B$32</f>
            </numRef>
          </cat>
          <val>
            <numRef>
              <f>'Timeline'!$D$5:$D$32</f>
            </numRef>
          </val>
        </ser>
        <ser>
          <idx val="2"/>
          <order val="2"/>
          <tx>
            <strRef>
              <f>'Timeline'!E4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'Timeline'!$B$5:$B$32</f>
            </numRef>
          </cat>
          <val>
            <numRef>
              <f>'Timeline'!$E$5:$E$32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Rupiah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288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37</row>
      <rowOff>0</rowOff>
    </from>
    <ext cx="288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34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3" customWidth="1" min="4" max="4"/>
    <col width="18" customWidth="1" min="5" max="5"/>
    <col width="16" customWidth="1" min="6" max="6"/>
    <col width="16" customWidth="1" min="7" max="7"/>
  </cols>
  <sheetData>
    <row r="1" ht="26" customHeight="1">
      <c r="B1" s="1" t="inlineStr">
        <is>
          <t>RINGKASAN — RENCANA PERNIKAHAN</t>
        </is>
      </c>
    </row>
    <row r="2">
      <c r="B2" s="2" t="inlineStr">
        <is>
          <t>Semua angka Rupiah. Ubah di sheet Budget → ringkasan &amp; grafik ikut berubah.</t>
        </is>
      </c>
    </row>
    <row r="4">
      <c r="B4" s="3" t="inlineStr">
        <is>
          <t>Total anggaran</t>
        </is>
      </c>
      <c r="C4" s="4">
        <f>Budget!E53</f>
        <v/>
      </c>
      <c r="E4" s="5" t="inlineStr">
        <is>
          <t>Saldo Blugether (Sep 2026)</t>
        </is>
      </c>
      <c r="F4" s="6" t="n">
        <v>50000000</v>
      </c>
    </row>
    <row r="5">
      <c r="B5" s="3" t="inlineStr">
        <is>
          <t>Sudah dibayar</t>
        </is>
      </c>
      <c r="C5" s="4">
        <f>Budget!E54</f>
        <v/>
      </c>
      <c r="E5" s="5" t="inlineStr">
        <is>
          <t>Menabung / bulan</t>
        </is>
      </c>
      <c r="F5" s="6" t="n">
        <v>5000000</v>
      </c>
    </row>
    <row r="6">
      <c r="B6" s="3" t="inlineStr">
        <is>
          <t>Sisa</t>
        </is>
      </c>
      <c r="C6" s="4">
        <f>Budget!E53-Budget!E54</f>
        <v/>
      </c>
      <c r="E6" s="5" t="inlineStr">
        <is>
          <t>Bulan s/d nikah (Syawal ±Apr 2028)</t>
        </is>
      </c>
      <c r="F6" s="7" t="n">
        <v>18</v>
      </c>
    </row>
    <row r="7">
      <c r="B7" s="3" t="inlineStr">
        <is>
          <t>Beban Blugether</t>
        </is>
      </c>
      <c r="C7" s="4">
        <f>SUMIF(Budget!G4:G51,"Blugether",Budget!E4:E51)</f>
        <v/>
      </c>
      <c r="E7" s="5" t="inlineStr">
        <is>
          <t>Kapasitas Blugether s/d nikah</t>
        </is>
      </c>
      <c r="F7" s="8">
        <f>F4+F5*F6</f>
        <v/>
      </c>
    </row>
    <row r="8">
      <c r="B8" s="3" t="inlineStr">
        <is>
          <t>Beban Orang tua</t>
        </is>
      </c>
      <c r="C8" s="4">
        <f>SUMIF(Budget!G4:G51,"Ortu*",Budget!E4:E51)+SUMIF(Budget!G4:G51,"Lainnya",Budget!E4:E51)</f>
        <v/>
      </c>
      <c r="E8" s="5" t="inlineStr">
        <is>
          <t>Saran kontribusi orang tua (min)</t>
        </is>
      </c>
      <c r="F8" s="9">
        <f>MAX(0,C6-F7)</f>
        <v/>
      </c>
    </row>
    <row r="10">
      <c r="B10" s="10" t="inlineStr">
        <is>
          <t>Anggaran per kategori</t>
        </is>
      </c>
      <c r="E10" s="10" t="inlineStr">
        <is>
          <t>Status pembayaran</t>
        </is>
      </c>
    </row>
    <row r="11">
      <c r="B11" s="11" t="inlineStr">
        <is>
          <t>Kategori</t>
        </is>
      </c>
      <c r="C11" s="11" t="inlineStr">
        <is>
          <t>Total</t>
        </is>
      </c>
      <c r="E11" s="11" t="inlineStr">
        <is>
          <t>Status</t>
        </is>
      </c>
      <c r="F11" s="11" t="inlineStr">
        <is>
          <t>Total</t>
        </is>
      </c>
    </row>
    <row r="12">
      <c r="B12" s="12" t="inlineStr">
        <is>
          <t>Lamaran</t>
        </is>
      </c>
      <c r="C12" s="13">
        <f>SUMIF(Budget!B4:B51,B12,Budget!E4:E51)</f>
        <v/>
      </c>
      <c r="E12" s="12" t="inlineStr">
        <is>
          <t>Lunas</t>
        </is>
      </c>
      <c r="F12" s="13">
        <f>SUMIF(Budget!F4:F51,E12,Budget!E4:E51)</f>
        <v/>
      </c>
    </row>
    <row r="13">
      <c r="B13" s="12" t="inlineStr">
        <is>
          <t>Siraman</t>
        </is>
      </c>
      <c r="C13" s="13">
        <f>SUMIF(Budget!B4:B51,B13,Budget!E4:E51)</f>
        <v/>
      </c>
      <c r="E13" s="12" t="inlineStr">
        <is>
          <t>DP dibayar</t>
        </is>
      </c>
      <c r="F13" s="13">
        <f>SUMIF(Budget!F4:F51,E13,Budget!E4:E51)</f>
        <v/>
      </c>
    </row>
    <row r="14">
      <c r="B14" s="12" t="inlineStr">
        <is>
          <t>Akad &amp; Adat</t>
        </is>
      </c>
      <c r="C14" s="13">
        <f>SUMIF(Budget!B4:B51,B14,Budget!E4:E51)</f>
        <v/>
      </c>
      <c r="E14" s="12" t="inlineStr">
        <is>
          <t>Belum</t>
        </is>
      </c>
      <c r="F14" s="13">
        <f>SUMIF(Budget!F4:F51,E14,Budget!E4:E51)</f>
        <v/>
      </c>
    </row>
    <row r="15">
      <c r="B15" s="12" t="inlineStr">
        <is>
          <t>Venue &amp; F&amp;B</t>
        </is>
      </c>
      <c r="C15" s="13">
        <f>SUMIF(Budget!B4:B51,B15,Budget!E4:E51)</f>
        <v/>
      </c>
    </row>
    <row r="16">
      <c r="B16" s="12" t="inlineStr">
        <is>
          <t>Resepsi &amp; Dekor</t>
        </is>
      </c>
      <c r="C16" s="13">
        <f>SUMIF(Budget!B4:B51,B16,Budget!E4:E51)</f>
        <v/>
      </c>
      <c r="E16" s="10" t="inlineStr">
        <is>
          <t>Siapa membayar</t>
        </is>
      </c>
    </row>
    <row r="17">
      <c r="B17" s="12" t="inlineStr">
        <is>
          <t>Hiburan &amp; Teknis</t>
        </is>
      </c>
      <c r="C17" s="13">
        <f>SUMIF(Budget!B4:B51,B17,Budget!E4:E51)</f>
        <v/>
      </c>
      <c r="E17" s="11" t="inlineStr">
        <is>
          <t>Pembayar</t>
        </is>
      </c>
      <c r="F17" s="11" t="inlineStr">
        <is>
          <t>Total</t>
        </is>
      </c>
    </row>
    <row r="18">
      <c r="B18" s="12" t="inlineStr">
        <is>
          <t>Busana, Rias &amp; Rambut</t>
        </is>
      </c>
      <c r="C18" s="13">
        <f>SUMIF(Budget!B4:B51,B18,Budget!E4:E51)</f>
        <v/>
      </c>
      <c r="E18" s="12" t="inlineStr">
        <is>
          <t>Blugether</t>
        </is>
      </c>
      <c r="F18" s="13">
        <f>SUMIF(Budget!G4:G51,"Blugether",Budget!E4:E51)</f>
        <v/>
      </c>
    </row>
    <row r="19">
      <c r="B19" s="12" t="inlineStr">
        <is>
          <t>Dokumentasi</t>
        </is>
      </c>
      <c r="C19" s="13">
        <f>SUMIF(Budget!B4:B51,B19,Budget!E4:E51)</f>
        <v/>
      </c>
      <c r="E19" s="12" t="inlineStr">
        <is>
          <t>Orang tua</t>
        </is>
      </c>
      <c r="F19" s="13">
        <f>SUMIF(Budget!G4:G51,"Ortu*",Budget!E4:E51)</f>
        <v/>
      </c>
    </row>
    <row r="20">
      <c r="B20" s="12" t="inlineStr">
        <is>
          <t>Cincin &amp; Pribadi</t>
        </is>
      </c>
      <c r="C20" s="13">
        <f>SUMIF(Budget!B4:B51,B20,Budget!E4:E51)</f>
        <v/>
      </c>
      <c r="E20" s="12" t="inlineStr">
        <is>
          <t>Lainnya</t>
        </is>
      </c>
      <c r="F20" s="13">
        <f>SUMIF(Budget!G4:G51,"Lainnya",Budget!E4:E51)</f>
        <v/>
      </c>
    </row>
    <row r="21">
      <c r="B21" s="12" t="inlineStr">
        <is>
          <t>Souvenir &amp; Tamu</t>
        </is>
      </c>
      <c r="C21" s="13">
        <f>SUMIF(Budget!B4:B51,B21,Budget!E4:E51)</f>
        <v/>
      </c>
    </row>
    <row r="22">
      <c r="B22" s="12" t="inlineStr">
        <is>
          <t>Logistik &amp; Keluarga</t>
        </is>
      </c>
      <c r="C22" s="13">
        <f>SUMIF(Budget!B4:B51,B22,Budget!E4:E51)</f>
        <v/>
      </c>
    </row>
    <row r="23">
      <c r="B23" s="12" t="inlineStr">
        <is>
          <t>Cadangan</t>
        </is>
      </c>
      <c r="C23" s="13">
        <f>SUMIF(Budget!B4:B51,B23,Budget!E4:E51)</f>
        <v/>
      </c>
    </row>
  </sheetData>
  <mergeCells count="5">
    <mergeCell ref="B2:G2"/>
    <mergeCell ref="E16:F16"/>
    <mergeCell ref="E10:F10"/>
    <mergeCell ref="B10:C10"/>
    <mergeCell ref="B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3" customWidth="1" min="4" max="4"/>
    <col width="16" customWidth="1" min="5" max="5"/>
    <col width="12" customWidth="1" min="6" max="6"/>
    <col width="14" customWidth="1" min="7" max="7"/>
    <col width="34" customWidth="1" min="8" max="8"/>
  </cols>
  <sheetData>
    <row r="1" ht="24" customHeight="1">
      <c r="A1" s="14" t="inlineStr">
        <is>
          <t>BUDGET PERNIKAHAN — [ Mempelai Wanita ] &amp; [ Mempelai Pria ]</t>
        </is>
      </c>
    </row>
    <row r="2">
      <c r="A2" s="2" t="inlineStr">
        <is>
          <t>Adat Jawa · The Bimasena (Rooang), Dharmawangsa · semua angka Rupiah · sel putih bisa diedit</t>
        </is>
      </c>
    </row>
    <row r="3" ht="20" customHeight="1">
      <c r="A3" s="15" t="inlineStr">
        <is>
          <t>No</t>
        </is>
      </c>
      <c r="B3" s="16" t="inlineStr">
        <is>
          <t>Kategori</t>
        </is>
      </c>
      <c r="C3" s="16" t="inlineStr">
        <is>
          <t>Item</t>
        </is>
      </c>
      <c r="D3" s="15" t="inlineStr">
        <is>
          <t>Qty / Pax</t>
        </is>
      </c>
      <c r="E3" s="15" t="inlineStr">
        <is>
          <t>Biaya</t>
        </is>
      </c>
      <c r="F3" s="15" t="inlineStr">
        <is>
          <t>Status</t>
        </is>
      </c>
      <c r="G3" s="15" t="inlineStr">
        <is>
          <t>Dibayar oleh</t>
        </is>
      </c>
      <c r="H3" s="16" t="inlineStr">
        <is>
          <t>Catatan</t>
        </is>
      </c>
    </row>
    <row r="4" ht="26" customHeight="1">
      <c r="A4" s="17" t="n">
        <v>1</v>
      </c>
      <c r="B4" s="18" t="inlineStr">
        <is>
          <t>Lamaran</t>
        </is>
      </c>
      <c r="C4" s="19" t="inlineStr">
        <is>
          <t>Tenda + kursi (sewa)</t>
        </is>
      </c>
      <c r="D4" s="17" t="inlineStr"/>
      <c r="E4" s="13" t="n">
        <v>1500000</v>
      </c>
      <c r="F4" s="20" t="inlineStr">
        <is>
          <t>Belum</t>
        </is>
      </c>
      <c r="G4" s="21" t="inlineStr">
        <is>
          <t>Blugether</t>
        </is>
      </c>
      <c r="H4" s="22" t="inlineStr">
        <is>
          <t>Di rumah mempelai wanita</t>
        </is>
      </c>
    </row>
    <row r="5" ht="26" customHeight="1">
      <c r="A5" s="17" t="n">
        <v>2</v>
      </c>
      <c r="B5" s="18" t="inlineStr">
        <is>
          <t>Lamaran</t>
        </is>
      </c>
      <c r="C5" s="19" t="inlineStr">
        <is>
          <t>Dekorasi &amp; bunga</t>
        </is>
      </c>
      <c r="D5" s="17" t="inlineStr"/>
      <c r="E5" s="13" t="n">
        <v>1500000</v>
      </c>
      <c r="F5" s="20" t="inlineStr">
        <is>
          <t>Belum</t>
        </is>
      </c>
      <c r="G5" s="21" t="inlineStr">
        <is>
          <t>Blugether</t>
        </is>
      </c>
      <c r="H5" s="22" t="inlineStr"/>
    </row>
    <row r="6" ht="26" customHeight="1">
      <c r="A6" s="17" t="n">
        <v>3</v>
      </c>
      <c r="B6" s="18" t="inlineStr">
        <is>
          <t>Lamaran</t>
        </is>
      </c>
      <c r="C6" s="19" t="inlineStr">
        <is>
          <t>Makanan &amp; minuman</t>
        </is>
      </c>
      <c r="D6" s="17" t="inlineStr"/>
      <c r="E6" s="13" t="n">
        <v>1000000</v>
      </c>
      <c r="F6" s="20" t="inlineStr">
        <is>
          <t>Belum</t>
        </is>
      </c>
      <c r="G6" s="21" t="inlineStr">
        <is>
          <t>Blugether</t>
        </is>
      </c>
      <c r="H6" s="22" t="inlineStr">
        <is>
          <t>Masak sendiri di rumah</t>
        </is>
      </c>
    </row>
    <row r="7" ht="26" customHeight="1">
      <c r="A7" s="17" t="n">
        <v>4</v>
      </c>
      <c r="B7" s="18" t="inlineStr">
        <is>
          <t>Lamaran</t>
        </is>
      </c>
      <c r="C7" s="19" t="inlineStr">
        <is>
          <t>Seserahan / hantaran</t>
        </is>
      </c>
      <c r="D7" s="17" t="inlineStr"/>
      <c r="E7" s="13" t="n">
        <v>500000</v>
      </c>
      <c r="F7" s="20" t="inlineStr">
        <is>
          <t>Belum</t>
        </is>
      </c>
      <c r="G7" s="21" t="inlineStr">
        <is>
          <t>Blugether</t>
        </is>
      </c>
      <c r="H7" s="22" t="inlineStr">
        <is>
          <t>Nampan + wrapping</t>
        </is>
      </c>
    </row>
    <row r="8" ht="26" customHeight="1">
      <c r="A8" s="17" t="n">
        <v>5</v>
      </c>
      <c r="B8" s="18" t="inlineStr">
        <is>
          <t>Lamaran</t>
        </is>
      </c>
      <c r="C8" s="19" t="inlineStr">
        <is>
          <t>Dokumentasi lamaran</t>
        </is>
      </c>
      <c r="D8" s="17" t="inlineStr">
        <is>
          <t>½ hari</t>
        </is>
      </c>
      <c r="E8" s="13" t="n">
        <v>300000</v>
      </c>
      <c r="F8" s="20" t="inlineStr">
        <is>
          <t>Belum</t>
        </is>
      </c>
      <c r="G8" s="21" t="inlineStr">
        <is>
          <t>Blugether</t>
        </is>
      </c>
      <c r="H8" s="22" t="inlineStr"/>
    </row>
    <row r="9" ht="26" customHeight="1">
      <c r="A9" s="17" t="n">
        <v>6</v>
      </c>
      <c r="B9" s="18" t="inlineStr">
        <is>
          <t>Lamaran</t>
        </is>
      </c>
      <c r="C9" s="19" t="inlineStr">
        <is>
          <t>Makeup mempelai wanita (lamaran)</t>
        </is>
      </c>
      <c r="D9" s="17" t="inlineStr"/>
      <c r="E9" s="13" t="n">
        <v>2000000</v>
      </c>
      <c r="F9" s="23" t="inlineStr">
        <is>
          <t>DP dibayar</t>
        </is>
      </c>
      <c r="G9" s="21" t="inlineStr">
        <is>
          <t>Blugether</t>
        </is>
      </c>
      <c r="H9" s="22" t="inlineStr">
        <is>
          <t>DP sudah dibayar</t>
        </is>
      </c>
    </row>
    <row r="10" ht="26" customHeight="1">
      <c r="A10" s="17" t="n">
        <v>7</v>
      </c>
      <c r="B10" s="18" t="inlineStr">
        <is>
          <t>Lamaran</t>
        </is>
      </c>
      <c r="C10" s="19" t="inlineStr">
        <is>
          <t>Buffer lamaran</t>
        </is>
      </c>
      <c r="D10" s="17" t="inlineStr"/>
      <c r="E10" s="13" t="n">
        <v>200000</v>
      </c>
      <c r="F10" s="20" t="inlineStr">
        <is>
          <t>Belum</t>
        </is>
      </c>
      <c r="G10" s="21" t="inlineStr">
        <is>
          <t>Blugether</t>
        </is>
      </c>
      <c r="H10" s="22" t="inlineStr"/>
    </row>
    <row r="11" ht="26" customHeight="1">
      <c r="A11" s="17" t="n">
        <v>8</v>
      </c>
      <c r="B11" s="18" t="inlineStr">
        <is>
          <t>Siraman</t>
        </is>
      </c>
      <c r="C11" s="19" t="inlineStr">
        <is>
          <t>Upacara siraman</t>
        </is>
      </c>
      <c r="D11" s="17" t="inlineStr"/>
      <c r="E11" s="13" t="n">
        <v>3000000</v>
      </c>
      <c r="F11" s="20" t="inlineStr">
        <is>
          <t>Belum</t>
        </is>
      </c>
      <c r="G11" s="21" t="inlineStr">
        <is>
          <t>Blugether</t>
        </is>
      </c>
      <c r="H11" s="22" t="inlineStr">
        <is>
          <t>Bunga setaman, air 7 sumber, kendi, dawet, tumpeng</t>
        </is>
      </c>
    </row>
    <row r="12" ht="26" customHeight="1">
      <c r="A12" s="17" t="n">
        <v>9</v>
      </c>
      <c r="B12" s="18" t="inlineStr">
        <is>
          <t>Siraman</t>
        </is>
      </c>
      <c r="C12" s="19" t="inlineStr">
        <is>
          <t>Katering keluarga (siraman)</t>
        </is>
      </c>
      <c r="D12" s="17" t="inlineStr"/>
      <c r="E12" s="13" t="n">
        <v>1500000</v>
      </c>
      <c r="F12" s="20" t="inlineStr">
        <is>
          <t>Belum</t>
        </is>
      </c>
      <c r="G12" s="21" t="inlineStr">
        <is>
          <t>Ortu Wanita</t>
        </is>
      </c>
      <c r="H12" s="22" t="inlineStr">
        <is>
          <t>Makan keluarga di rumah</t>
        </is>
      </c>
    </row>
    <row r="13" ht="26" customHeight="1">
      <c r="A13" s="17" t="n">
        <v>10</v>
      </c>
      <c r="B13" s="18" t="inlineStr">
        <is>
          <t>Siraman</t>
        </is>
      </c>
      <c r="C13" s="19" t="inlineStr">
        <is>
          <t>Lulur &amp; henna pengantin</t>
        </is>
      </c>
      <c r="D13" s="17" t="inlineStr"/>
      <c r="E13" s="13" t="n">
        <v>1500000</v>
      </c>
      <c r="F13" s="20" t="inlineStr">
        <is>
          <t>Belum</t>
        </is>
      </c>
      <c r="G13" s="21" t="inlineStr">
        <is>
          <t>Blugether</t>
        </is>
      </c>
      <c r="H13" s="22" t="inlineStr"/>
    </row>
    <row r="14" ht="26" customHeight="1">
      <c r="A14" s="17" t="n">
        <v>11</v>
      </c>
      <c r="B14" s="18" t="inlineStr">
        <is>
          <t>Akad &amp; Adat</t>
        </is>
      </c>
      <c r="C14" s="19" t="inlineStr">
        <is>
          <t>Perlengkapan panggih (temu manten)</t>
        </is>
      </c>
      <c r="D14" s="17" t="inlineStr"/>
      <c r="E14" s="13" t="n">
        <v>2000000</v>
      </c>
      <c r="F14" s="20" t="inlineStr">
        <is>
          <t>Belum</t>
        </is>
      </c>
      <c r="G14" s="21" t="inlineStr">
        <is>
          <t>Blugether</t>
        </is>
      </c>
      <c r="H14" s="22" t="inlineStr">
        <is>
          <t>Kembar mayang ×2, suruh, telur, kacar-kucur, sindur</t>
        </is>
      </c>
    </row>
    <row r="15" ht="26" customHeight="1">
      <c r="A15" s="17" t="n">
        <v>12</v>
      </c>
      <c r="B15" s="18" t="inlineStr">
        <is>
          <t>Akad &amp; Adat</t>
        </is>
      </c>
      <c r="C15" s="19" t="inlineStr">
        <is>
          <t>Hadroh / rebana (akad)</t>
        </is>
      </c>
      <c r="D15" s="17" t="inlineStr"/>
      <c r="E15" s="13" t="n">
        <v>3000000</v>
      </c>
      <c r="F15" s="20" t="inlineStr">
        <is>
          <t>Belum</t>
        </is>
      </c>
      <c r="G15" s="21" t="inlineStr">
        <is>
          <t>Ortu Pria</t>
        </is>
      </c>
      <c r="H15" s="22" t="inlineStr"/>
    </row>
    <row r="16" ht="26" customHeight="1">
      <c r="A16" s="17" t="n">
        <v>13</v>
      </c>
      <c r="B16" s="18" t="inlineStr">
        <is>
          <t>Akad &amp; Adat</t>
        </is>
      </c>
      <c r="C16" s="19" t="inlineStr">
        <is>
          <t>Penghulu / KUA (akad)</t>
        </is>
      </c>
      <c r="D16" s="17" t="inlineStr"/>
      <c r="E16" s="13" t="n">
        <v>600000</v>
      </c>
      <c r="F16" s="20" t="inlineStr">
        <is>
          <t>Belum</t>
        </is>
      </c>
      <c r="G16" s="21" t="inlineStr">
        <is>
          <t>Blugether</t>
        </is>
      </c>
      <c r="H16" s="22" t="inlineStr">
        <is>
          <t>Di luar jam kantor</t>
        </is>
      </c>
    </row>
    <row r="17" ht="26" customHeight="1">
      <c r="A17" s="17" t="n">
        <v>14</v>
      </c>
      <c r="B17" s="18" t="inlineStr">
        <is>
          <t>Akad &amp; Adat</t>
        </is>
      </c>
      <c r="C17" s="19" t="inlineStr">
        <is>
          <t>Mahar + replika mahar</t>
        </is>
      </c>
      <c r="D17" s="17" t="inlineStr"/>
      <c r="E17" s="13" t="n">
        <v>1200000</v>
      </c>
      <c r="F17" s="20" t="inlineStr">
        <is>
          <t>Belum</t>
        </is>
      </c>
      <c r="G17" s="21" t="inlineStr">
        <is>
          <t>Blugether</t>
        </is>
      </c>
      <c r="H17" s="22" t="inlineStr">
        <is>
          <t>Simbolis</t>
        </is>
      </c>
    </row>
    <row r="18" ht="26" customHeight="1">
      <c r="A18" s="17" t="n">
        <v>15</v>
      </c>
      <c r="B18" s="18" t="inlineStr">
        <is>
          <t>Akad &amp; Adat</t>
        </is>
      </c>
      <c r="C18" s="19" t="inlineStr">
        <is>
          <t>Medical check-up (syarat nikah)</t>
        </is>
      </c>
      <c r="D18" s="17" t="inlineStr">
        <is>
          <t>2 org</t>
        </is>
      </c>
      <c r="E18" s="13" t="n">
        <v>1000000</v>
      </c>
      <c r="F18" s="20" t="inlineStr">
        <is>
          <t>Belum</t>
        </is>
      </c>
      <c r="G18" s="21" t="inlineStr">
        <is>
          <t>Blugether</t>
        </is>
      </c>
      <c r="H18" s="22" t="inlineStr"/>
    </row>
    <row r="19" ht="26" customHeight="1">
      <c r="A19" s="17" t="n">
        <v>16</v>
      </c>
      <c r="B19" s="18" t="inlineStr">
        <is>
          <t>Venue &amp; F&amp;B</t>
        </is>
      </c>
      <c r="C19" s="19" t="inlineStr">
        <is>
          <t>The Bimasena (Rooang) — minimum spending</t>
        </is>
      </c>
      <c r="D19" s="17" t="inlineStr">
        <is>
          <t>100+ pax</t>
        </is>
      </c>
      <c r="E19" s="13" t="n">
        <v>150000000</v>
      </c>
      <c r="F19" s="20" t="inlineStr">
        <is>
          <t>Belum</t>
        </is>
      </c>
      <c r="G19" s="21" t="inlineStr">
        <is>
          <t>Blugether</t>
        </is>
      </c>
      <c r="H19" s="22" t="inlineStr">
        <is>
          <t>Min. spend; sudah termasuk F&amp;B 100+ pax</t>
        </is>
      </c>
    </row>
    <row r="20" ht="26" customHeight="1">
      <c r="A20" s="17" t="n">
        <v>17</v>
      </c>
      <c r="B20" s="18" t="inlineStr">
        <is>
          <t>Venue &amp; F&amp;B</t>
        </is>
      </c>
      <c r="C20" s="19" t="inlineStr">
        <is>
          <t>Tambahan pax / upgrade menu</t>
        </is>
      </c>
      <c r="D20" s="17" t="inlineStr"/>
      <c r="E20" s="13" t="n">
        <v>0</v>
      </c>
      <c r="F20" s="20" t="inlineStr">
        <is>
          <t>Belum</t>
        </is>
      </c>
      <c r="G20" s="21" t="inlineStr">
        <is>
          <t>Blugether</t>
        </is>
      </c>
      <c r="H20" s="22" t="inlineStr">
        <is>
          <t>Isi bila melebihi minimum</t>
        </is>
      </c>
    </row>
    <row r="21" ht="26" customHeight="1">
      <c r="A21" s="17" t="n">
        <v>18</v>
      </c>
      <c r="B21" s="18" t="inlineStr">
        <is>
          <t>Venue &amp; F&amp;B</t>
        </is>
      </c>
      <c r="C21" s="19" t="inlineStr">
        <is>
          <t>Makan vendor &amp; panitia</t>
        </is>
      </c>
      <c r="D21" s="17" t="inlineStr"/>
      <c r="E21" s="13" t="n">
        <v>3000000</v>
      </c>
      <c r="F21" s="20" t="inlineStr">
        <is>
          <t>Belum</t>
        </is>
      </c>
      <c r="G21" s="21" t="inlineStr">
        <is>
          <t>Blugether</t>
        </is>
      </c>
      <c r="H21" s="22" t="inlineStr"/>
    </row>
    <row r="22" ht="26" customHeight="1">
      <c r="A22" s="17" t="n">
        <v>19</v>
      </c>
      <c r="B22" s="18" t="inlineStr">
        <is>
          <t>Resepsi &amp; Dekor</t>
        </is>
      </c>
      <c r="C22" s="19" t="inlineStr">
        <is>
          <t>Dekorasi &amp; bunga resepsi</t>
        </is>
      </c>
      <c r="D22" s="17" t="inlineStr"/>
      <c r="E22" s="13" t="n">
        <v>12000000</v>
      </c>
      <c r="F22" s="20" t="inlineStr">
        <is>
          <t>Belum</t>
        </is>
      </c>
      <c r="G22" s="21" t="inlineStr">
        <is>
          <t>Blugether</t>
        </is>
      </c>
      <c r="H22" s="22" t="inlineStr">
        <is>
          <t>Melati putih: pelaminan, entrance, aisle, meja</t>
        </is>
      </c>
    </row>
    <row r="23" ht="26" customHeight="1">
      <c r="A23" s="17" t="n">
        <v>20</v>
      </c>
      <c r="B23" s="18" t="inlineStr">
        <is>
          <t>Resepsi &amp; Dekor</t>
        </is>
      </c>
      <c r="C23" s="19" t="inlineStr">
        <is>
          <t>Bridal bouquet + melati groom &amp; bride</t>
        </is>
      </c>
      <c r="D23" s="17" t="inlineStr"/>
      <c r="E23" s="13" t="n">
        <v>2000000</v>
      </c>
      <c r="F23" s="20" t="inlineStr">
        <is>
          <t>Belum</t>
        </is>
      </c>
      <c r="G23" s="21" t="inlineStr">
        <is>
          <t>Blugether</t>
        </is>
      </c>
      <c r="H23" s="22" t="inlineStr"/>
    </row>
    <row r="24" ht="26" customHeight="1">
      <c r="A24" s="17" t="n">
        <v>21</v>
      </c>
      <c r="B24" s="18" t="inlineStr">
        <is>
          <t>Resepsi &amp; Dekor</t>
        </is>
      </c>
      <c r="C24" s="19" t="inlineStr">
        <is>
          <t>Karpet (bila perlu)</t>
        </is>
      </c>
      <c r="D24" s="17" t="inlineStr"/>
      <c r="E24" s="13" t="n">
        <v>0</v>
      </c>
      <c r="F24" s="20" t="inlineStr">
        <is>
          <t>Belum</t>
        </is>
      </c>
      <c r="G24" s="21" t="inlineStr">
        <is>
          <t>Blugether</t>
        </is>
      </c>
      <c r="H24" s="22" t="inlineStr"/>
    </row>
    <row r="25" ht="26" customHeight="1">
      <c r="A25" s="17" t="n">
        <v>22</v>
      </c>
      <c r="B25" s="18" t="inlineStr">
        <is>
          <t>Hiburan &amp; Teknis</t>
        </is>
      </c>
      <c r="C25" s="19" t="inlineStr">
        <is>
          <t>Live music / band</t>
        </is>
      </c>
      <c r="D25" s="17" t="inlineStr"/>
      <c r="E25" s="13" t="n">
        <v>8000000</v>
      </c>
      <c r="F25" s="20" t="inlineStr">
        <is>
          <t>Belum</t>
        </is>
      </c>
      <c r="G25" s="21" t="inlineStr">
        <is>
          <t>Blugether</t>
        </is>
      </c>
      <c r="H25" s="22" t="inlineStr">
        <is>
          <t>Akustik → band</t>
        </is>
      </c>
    </row>
    <row r="26" ht="26" customHeight="1">
      <c r="A26" s="17" t="n">
        <v>23</v>
      </c>
      <c r="B26" s="18" t="inlineStr">
        <is>
          <t>Hiburan &amp; Teknis</t>
        </is>
      </c>
      <c r="C26" s="19" t="inlineStr">
        <is>
          <t>MC / pranatacara</t>
        </is>
      </c>
      <c r="D26" s="17" t="inlineStr"/>
      <c r="E26" s="13" t="n">
        <v>4000000</v>
      </c>
      <c r="F26" s="20" t="inlineStr">
        <is>
          <t>Belum</t>
        </is>
      </c>
      <c r="G26" s="21" t="inlineStr">
        <is>
          <t>Blugether</t>
        </is>
      </c>
      <c r="H26" s="22" t="inlineStr">
        <is>
          <t>Bilingual</t>
        </is>
      </c>
    </row>
    <row r="27" ht="26" customHeight="1">
      <c r="A27" s="17" t="n">
        <v>24</v>
      </c>
      <c r="B27" s="18" t="inlineStr">
        <is>
          <t>Hiburan &amp; Teknis</t>
        </is>
      </c>
      <c r="C27" s="19" t="inlineStr">
        <is>
          <t>Koordinator hari-H (WO on-the-day)</t>
        </is>
      </c>
      <c r="D27" s="17" t="inlineStr"/>
      <c r="E27" s="13" t="n">
        <v>5000000</v>
      </c>
      <c r="F27" s="20" t="inlineStr">
        <is>
          <t>Belum</t>
        </is>
      </c>
      <c r="G27" s="21" t="inlineStr">
        <is>
          <t>Blugether</t>
        </is>
      </c>
      <c r="H27" s="22" t="inlineStr">
        <is>
          <t>Jaga rundown, cue vendor</t>
        </is>
      </c>
    </row>
    <row r="28" ht="26" customHeight="1">
      <c r="A28" s="17" t="n">
        <v>25</v>
      </c>
      <c r="B28" s="18" t="inlineStr">
        <is>
          <t>Hiburan &amp; Teknis</t>
        </is>
      </c>
      <c r="C28" s="19" t="inlineStr">
        <is>
          <t>Sound system &amp; lighting</t>
        </is>
      </c>
      <c r="D28" s="17" t="inlineStr"/>
      <c r="E28" s="13" t="n">
        <v>5000000</v>
      </c>
      <c r="F28" s="20" t="inlineStr">
        <is>
          <t>Belum</t>
        </is>
      </c>
      <c r="G28" s="21" t="inlineStr">
        <is>
          <t>Blugether</t>
        </is>
      </c>
      <c r="H28" s="22" t="inlineStr">
        <is>
          <t>Bila belum termasuk venue</t>
        </is>
      </c>
    </row>
    <row r="29" ht="26" customHeight="1">
      <c r="A29" s="17" t="n">
        <v>26</v>
      </c>
      <c r="B29" s="18" t="inlineStr">
        <is>
          <t>Hiburan &amp; Teknis</t>
        </is>
      </c>
      <c r="C29" s="19" t="inlineStr">
        <is>
          <t>Live streaming</t>
        </is>
      </c>
      <c r="D29" s="17" t="inlineStr"/>
      <c r="E29" s="13" t="n">
        <v>3000000</v>
      </c>
      <c r="F29" s="20" t="inlineStr">
        <is>
          <t>Belum</t>
        </is>
      </c>
      <c r="G29" s="21" t="inlineStr">
        <is>
          <t>Blugether</t>
        </is>
      </c>
      <c r="H29" s="22" t="inlineStr">
        <is>
          <t>Opsional</t>
        </is>
      </c>
    </row>
    <row r="30" ht="26" customHeight="1">
      <c r="A30" s="17" t="n">
        <v>27</v>
      </c>
      <c r="B30" s="18" t="inlineStr">
        <is>
          <t>Busana, Rias &amp; Rambut</t>
        </is>
      </c>
      <c r="C30" s="19" t="inlineStr">
        <is>
          <t>Busana &amp; rias mempelai wanita</t>
        </is>
      </c>
      <c r="D30" s="17" t="inlineStr"/>
      <c r="E30" s="13" t="n">
        <v>18000000</v>
      </c>
      <c r="F30" s="20" t="inlineStr">
        <is>
          <t>Belum</t>
        </is>
      </c>
      <c r="G30" s="21" t="inlineStr">
        <is>
          <t>Blugether</t>
        </is>
      </c>
      <c r="H30" s="22" t="inlineStr">
        <is>
          <t>Paes ageng: siraman, akad, resepsi</t>
        </is>
      </c>
    </row>
    <row r="31" ht="26" customHeight="1">
      <c r="A31" s="17" t="n">
        <v>28</v>
      </c>
      <c r="B31" s="18" t="inlineStr">
        <is>
          <t>Busana, Rias &amp; Rambut</t>
        </is>
      </c>
      <c r="C31" s="19" t="inlineStr">
        <is>
          <t>Hairdo mempelai wanita</t>
        </is>
      </c>
      <c r="D31" s="17" t="inlineStr"/>
      <c r="E31" s="13" t="n">
        <v>2000000</v>
      </c>
      <c r="F31" s="20" t="inlineStr">
        <is>
          <t>Belum</t>
        </is>
      </c>
      <c r="G31" s="21" t="inlineStr">
        <is>
          <t>Blugether</t>
        </is>
      </c>
      <c r="H31" s="22" t="inlineStr"/>
    </row>
    <row r="32" ht="26" customHeight="1">
      <c r="A32" s="17" t="n">
        <v>29</v>
      </c>
      <c r="B32" s="18" t="inlineStr">
        <is>
          <t>Busana, Rias &amp; Rambut</t>
        </is>
      </c>
      <c r="C32" s="19" t="inlineStr">
        <is>
          <t>Sewa beskap mempelai pria (akad)</t>
        </is>
      </c>
      <c r="D32" s="17" t="inlineStr"/>
      <c r="E32" s="13" t="n">
        <v>4000000</v>
      </c>
      <c r="F32" s="20" t="inlineStr">
        <is>
          <t>Belum</t>
        </is>
      </c>
      <c r="G32" s="21" t="inlineStr">
        <is>
          <t>Blugether</t>
        </is>
      </c>
      <c r="H32" s="22" t="inlineStr">
        <is>
          <t>Hanya beskap akad; tak perlu jas lamaran/resepsi</t>
        </is>
      </c>
    </row>
    <row r="33" ht="26" customHeight="1">
      <c r="A33" s="17" t="n">
        <v>30</v>
      </c>
      <c r="B33" s="18" t="inlineStr">
        <is>
          <t>Busana, Rias &amp; Rambut</t>
        </is>
      </c>
      <c r="C33" s="19" t="inlineStr">
        <is>
          <t>Busana adat orang tua</t>
        </is>
      </c>
      <c r="D33" s="17" t="inlineStr"/>
      <c r="E33" s="13" t="n">
        <v>4000000</v>
      </c>
      <c r="F33" s="20" t="inlineStr">
        <is>
          <t>Belum</t>
        </is>
      </c>
      <c r="G33" s="21" t="inlineStr">
        <is>
          <t>Ortu</t>
        </is>
      </c>
      <c r="H33" s="22" t="inlineStr">
        <is>
          <t>Kebaya / beskap</t>
        </is>
      </c>
    </row>
    <row r="34" ht="26" customHeight="1">
      <c r="A34" s="17" t="n">
        <v>31</v>
      </c>
      <c r="B34" s="18" t="inlineStr">
        <is>
          <t>Busana, Rias &amp; Rambut</t>
        </is>
      </c>
      <c r="C34" s="19" t="inlineStr">
        <is>
          <t>Makeup orang tua &amp; keluarga inti</t>
        </is>
      </c>
      <c r="D34" s="17" t="inlineStr"/>
      <c r="E34" s="13" t="n">
        <v>4000000</v>
      </c>
      <c r="F34" s="20" t="inlineStr">
        <is>
          <t>Belum</t>
        </is>
      </c>
      <c r="G34" s="21" t="inlineStr">
        <is>
          <t>Ortu</t>
        </is>
      </c>
      <c r="H34" s="22" t="inlineStr"/>
    </row>
    <row r="35" ht="26" customHeight="1">
      <c r="A35" s="17" t="n">
        <v>32</v>
      </c>
      <c r="B35" s="18" t="inlineStr">
        <is>
          <t>Busana, Rias &amp; Rambut</t>
        </is>
      </c>
      <c r="C35" s="19" t="inlineStr">
        <is>
          <t>Seragam panitia / keluarga</t>
        </is>
      </c>
      <c r="D35" s="17" t="inlineStr">
        <is>
          <t>± 20 org</t>
        </is>
      </c>
      <c r="E35" s="13" t="n">
        <v>5000000</v>
      </c>
      <c r="F35" s="20" t="inlineStr">
        <is>
          <t>Belum</t>
        </is>
      </c>
      <c r="G35" s="21" t="inlineStr">
        <is>
          <t>Blugether</t>
        </is>
      </c>
      <c r="H35" s="22" t="inlineStr">
        <is>
          <t>± 20 × 250rb</t>
        </is>
      </c>
    </row>
    <row r="36" ht="26" customHeight="1">
      <c r="A36" s="17" t="n">
        <v>33</v>
      </c>
      <c r="B36" s="18" t="inlineStr">
        <is>
          <t>Busana, Rias &amp; Rambut</t>
        </is>
      </c>
      <c r="C36" s="19" t="inlineStr">
        <is>
          <t>Accessories (mahkota, printilan)</t>
        </is>
      </c>
      <c r="D36" s="17" t="inlineStr"/>
      <c r="E36" s="13" t="n">
        <v>3000000</v>
      </c>
      <c r="F36" s="20" t="inlineStr">
        <is>
          <t>Belum</t>
        </is>
      </c>
      <c r="G36" s="21" t="inlineStr">
        <is>
          <t>Blugether</t>
        </is>
      </c>
      <c r="H36" s="22" t="inlineStr"/>
    </row>
    <row r="37" ht="26" customHeight="1">
      <c r="A37" s="17" t="n">
        <v>34</v>
      </c>
      <c r="B37" s="18" t="inlineStr">
        <is>
          <t>Dokumentasi</t>
        </is>
      </c>
      <c r="C37" s="19" t="inlineStr">
        <is>
          <t>Foto &amp; video (2 hari)</t>
        </is>
      </c>
      <c r="D37" s="17" t="inlineStr">
        <is>
          <t>siraman + hari-H</t>
        </is>
      </c>
      <c r="E37" s="13" t="n">
        <v>12000000</v>
      </c>
      <c r="F37" s="20" t="inlineStr">
        <is>
          <t>Belum</t>
        </is>
      </c>
      <c r="G37" s="21" t="inlineStr">
        <is>
          <t>Blugether</t>
        </is>
      </c>
      <c r="H37" s="22" t="inlineStr"/>
    </row>
    <row r="38" ht="26" customHeight="1">
      <c r="A38" s="17" t="n">
        <v>35</v>
      </c>
      <c r="B38" s="18" t="inlineStr">
        <is>
          <t>Dokumentasi</t>
        </is>
      </c>
      <c r="C38" s="19" t="inlineStr">
        <is>
          <t>Foto prewedding</t>
        </is>
      </c>
      <c r="D38" s="17" t="inlineStr"/>
      <c r="E38" s="13" t="n">
        <v>3000000</v>
      </c>
      <c r="F38" s="20" t="inlineStr">
        <is>
          <t>Belum</t>
        </is>
      </c>
      <c r="G38" s="21" t="inlineStr">
        <is>
          <t>Blugether</t>
        </is>
      </c>
      <c r="H38" s="22" t="inlineStr">
        <is>
          <t>Opsional</t>
        </is>
      </c>
    </row>
    <row r="39" ht="26" customHeight="1">
      <c r="A39" s="17" t="n">
        <v>36</v>
      </c>
      <c r="B39" s="18" t="inlineStr">
        <is>
          <t>Cincin &amp; Pribadi</t>
        </is>
      </c>
      <c r="C39" s="19" t="inlineStr">
        <is>
          <t>Cincin tunangan + cincin nikah</t>
        </is>
      </c>
      <c r="D39" s="17" t="inlineStr"/>
      <c r="E39" s="13" t="n">
        <v>23000000</v>
      </c>
      <c r="F39" s="24" t="inlineStr">
        <is>
          <t>Lunas</t>
        </is>
      </c>
      <c r="G39" s="21" t="inlineStr">
        <is>
          <t>Blugether</t>
        </is>
      </c>
      <c r="H39" s="22" t="inlineStr">
        <is>
          <t>Total kedua cincin — sudah dibeli</t>
        </is>
      </c>
    </row>
    <row r="40" ht="26" customHeight="1">
      <c r="A40" s="17" t="n">
        <v>37</v>
      </c>
      <c r="B40" s="18" t="inlineStr">
        <is>
          <t>Cincin &amp; Pribadi</t>
        </is>
      </c>
      <c r="C40" s="19" t="inlineStr">
        <is>
          <t>Hair care / perawatan pengantin</t>
        </is>
      </c>
      <c r="D40" s="17" t="inlineStr"/>
      <c r="E40" s="13" t="n">
        <v>1500000</v>
      </c>
      <c r="F40" s="20" t="inlineStr">
        <is>
          <t>Belum</t>
        </is>
      </c>
      <c r="G40" s="21" t="inlineStr">
        <is>
          <t>Blugether</t>
        </is>
      </c>
      <c r="H40" s="22" t="inlineStr"/>
    </row>
    <row r="41" ht="26" customHeight="1">
      <c r="A41" s="17" t="n">
        <v>38</v>
      </c>
      <c r="B41" s="18" t="inlineStr">
        <is>
          <t>Souvenir &amp; Tamu</t>
        </is>
      </c>
      <c r="C41" s="19" t="inlineStr">
        <is>
          <t>Souvenir tamu</t>
        </is>
      </c>
      <c r="D41" s="17" t="inlineStr">
        <is>
          <t>100 pcs</t>
        </is>
      </c>
      <c r="E41" s="13" t="n">
        <v>2500000</v>
      </c>
      <c r="F41" s="20" t="inlineStr">
        <is>
          <t>Belum</t>
        </is>
      </c>
      <c r="G41" s="21" t="inlineStr">
        <is>
          <t>Blugether</t>
        </is>
      </c>
      <c r="H41" s="22" t="inlineStr">
        <is>
          <t>± 100 × 25rb</t>
        </is>
      </c>
    </row>
    <row r="42" ht="26" customHeight="1">
      <c r="A42" s="17" t="n">
        <v>39</v>
      </c>
      <c r="B42" s="18" t="inlineStr">
        <is>
          <t>Souvenir &amp; Tamu</t>
        </is>
      </c>
      <c r="C42" s="19" t="inlineStr">
        <is>
          <t>Souvenir VIP / besan</t>
        </is>
      </c>
      <c r="D42" s="17" t="inlineStr"/>
      <c r="E42" s="13" t="n">
        <v>1500000</v>
      </c>
      <c r="F42" s="20" t="inlineStr">
        <is>
          <t>Belum</t>
        </is>
      </c>
      <c r="G42" s="21" t="inlineStr">
        <is>
          <t>Blugether</t>
        </is>
      </c>
      <c r="H42" s="22" t="inlineStr"/>
    </row>
    <row r="43" ht="26" customHeight="1">
      <c r="A43" s="17" t="n">
        <v>40</v>
      </c>
      <c r="B43" s="18" t="inlineStr">
        <is>
          <t>Souvenir &amp; Tamu</t>
        </is>
      </c>
      <c r="C43" s="19" t="inlineStr">
        <is>
          <t>Usher &amp; buku tamu</t>
        </is>
      </c>
      <c r="D43" s="17" t="inlineStr"/>
      <c r="E43" s="13" t="n">
        <v>1500000</v>
      </c>
      <c r="F43" s="20" t="inlineStr">
        <is>
          <t>Belum</t>
        </is>
      </c>
      <c r="G43" s="21" t="inlineStr">
        <is>
          <t>Blugether</t>
        </is>
      </c>
      <c r="H43" s="22" t="inlineStr"/>
    </row>
    <row r="44" ht="26" customHeight="1">
      <c r="A44" s="17" t="n">
        <v>41</v>
      </c>
      <c r="B44" s="18" t="inlineStr">
        <is>
          <t>Logistik &amp; Keluarga</t>
        </is>
      </c>
      <c r="C44" s="19" t="inlineStr">
        <is>
          <t>Undangan digital</t>
        </is>
      </c>
      <c r="D44" s="17" t="inlineStr"/>
      <c r="E44" s="13" t="n">
        <v>300000</v>
      </c>
      <c r="F44" s="20" t="inlineStr">
        <is>
          <t>Belum</t>
        </is>
      </c>
      <c r="G44" s="21" t="inlineStr">
        <is>
          <t>Blugether</t>
        </is>
      </c>
      <c r="H44" s="22" t="inlineStr"/>
    </row>
    <row r="45" ht="26" customHeight="1">
      <c r="A45" s="17" t="n">
        <v>42</v>
      </c>
      <c r="B45" s="18" t="inlineStr">
        <is>
          <t>Logistik &amp; Keluarga</t>
        </is>
      </c>
      <c r="C45" s="19" t="inlineStr">
        <is>
          <t>Undangan cetak</t>
        </is>
      </c>
      <c r="D45" s="17" t="inlineStr">
        <is>
          <t>100 pcs</t>
        </is>
      </c>
      <c r="E45" s="13" t="n">
        <v>1500000</v>
      </c>
      <c r="F45" s="20" t="inlineStr">
        <is>
          <t>Belum</t>
        </is>
      </c>
      <c r="G45" s="21" t="inlineStr">
        <is>
          <t>Ortu</t>
        </is>
      </c>
      <c r="H45" s="22" t="inlineStr"/>
    </row>
    <row r="46" ht="26" customHeight="1">
      <c r="A46" s="17" t="n">
        <v>43</v>
      </c>
      <c r="B46" s="18" t="inlineStr">
        <is>
          <t>Logistik &amp; Keluarga</t>
        </is>
      </c>
      <c r="C46" s="19" t="inlineStr">
        <is>
          <t>Kamar hotel — bridal suite (1 malam)</t>
        </is>
      </c>
      <c r="D46" s="17" t="inlineStr"/>
      <c r="E46" s="13" t="n">
        <v>5000000</v>
      </c>
      <c r="F46" s="20" t="inlineStr">
        <is>
          <t>Belum</t>
        </is>
      </c>
      <c r="G46" s="21" t="inlineStr">
        <is>
          <t>Blugether</t>
        </is>
      </c>
      <c r="H46" s="22" t="inlineStr">
        <is>
          <t>Malam pernikahan</t>
        </is>
      </c>
    </row>
    <row r="47" ht="26" customHeight="1">
      <c r="A47" s="17" t="n">
        <v>44</v>
      </c>
      <c r="B47" s="18" t="inlineStr">
        <is>
          <t>Logistik &amp; Keluarga</t>
        </is>
      </c>
      <c r="C47" s="19" t="inlineStr">
        <is>
          <t>Kamar hotel tambahan (MUA/keluarga)</t>
        </is>
      </c>
      <c r="D47" s="17" t="inlineStr"/>
      <c r="E47" s="13" t="n">
        <v>3000000</v>
      </c>
      <c r="F47" s="20" t="inlineStr">
        <is>
          <t>Belum</t>
        </is>
      </c>
      <c r="G47" s="21" t="inlineStr">
        <is>
          <t>Blugether</t>
        </is>
      </c>
      <c r="H47" s="22" t="inlineStr"/>
    </row>
    <row r="48" ht="26" customHeight="1">
      <c r="A48" s="17" t="n">
        <v>45</v>
      </c>
      <c r="B48" s="18" t="inlineStr">
        <is>
          <t>Logistik &amp; Keluarga</t>
        </is>
      </c>
      <c r="C48" s="19" t="inlineStr">
        <is>
          <t>Transportasi &amp; mobil pengantin</t>
        </is>
      </c>
      <c r="D48" s="17" t="inlineStr"/>
      <c r="E48" s="13" t="n">
        <v>3500000</v>
      </c>
      <c r="F48" s="20" t="inlineStr">
        <is>
          <t>Belum</t>
        </is>
      </c>
      <c r="G48" s="21" t="inlineStr">
        <is>
          <t>Blugether</t>
        </is>
      </c>
      <c r="H48" s="22" t="inlineStr"/>
    </row>
    <row r="49" ht="26" customHeight="1">
      <c r="A49" s="17" t="n">
        <v>46</v>
      </c>
      <c r="B49" s="18" t="inlineStr">
        <is>
          <t>Logistik &amp; Keluarga</t>
        </is>
      </c>
      <c r="C49" s="19" t="inlineStr">
        <is>
          <t>Family pocket money</t>
        </is>
      </c>
      <c r="D49" s="17" t="inlineStr"/>
      <c r="E49" s="13" t="n">
        <v>5000000</v>
      </c>
      <c r="F49" s="20" t="inlineStr">
        <is>
          <t>Belum</t>
        </is>
      </c>
      <c r="G49" s="21" t="inlineStr">
        <is>
          <t>Ortu</t>
        </is>
      </c>
      <c r="H49" s="22" t="inlineStr"/>
    </row>
    <row r="50" ht="26" customHeight="1">
      <c r="A50" s="17" t="n">
        <v>47</v>
      </c>
      <c r="B50" s="18" t="inlineStr">
        <is>
          <t>Logistik &amp; Keluarga</t>
        </is>
      </c>
      <c r="C50" s="19" t="inlineStr">
        <is>
          <t>Wedding cake &amp; dessert</t>
        </is>
      </c>
      <c r="D50" s="17" t="inlineStr"/>
      <c r="E50" s="13" t="n">
        <v>2500000</v>
      </c>
      <c r="F50" s="20" t="inlineStr">
        <is>
          <t>Belum</t>
        </is>
      </c>
      <c r="G50" s="21" t="inlineStr">
        <is>
          <t>Blugether</t>
        </is>
      </c>
      <c r="H50" s="22" t="inlineStr"/>
    </row>
    <row r="51">
      <c r="A51" s="17" t="n">
        <v>48</v>
      </c>
      <c r="B51" s="18" t="inlineStr">
        <is>
          <t>Cadangan</t>
        </is>
      </c>
      <c r="C51" s="19" t="inlineStr">
        <is>
          <t>Biaya tak terduga (10%)</t>
        </is>
      </c>
      <c r="D51" s="25" t="n"/>
      <c r="E51" s="13">
        <f>ROUND(0.1*(SUM(E4:E50)-E19-E39),-3)</f>
        <v/>
      </c>
      <c r="F51" s="20" t="inlineStr">
        <is>
          <t>Belum</t>
        </is>
      </c>
      <c r="G51" s="21" t="inlineStr">
        <is>
          <t>Blugether</t>
        </is>
      </c>
      <c r="H51" s="22" t="inlineStr">
        <is>
          <t>10% pos non-fix (di luar venue &amp; cincin)</t>
        </is>
      </c>
    </row>
    <row r="53" ht="22" customHeight="1">
      <c r="C53" s="26" t="inlineStr">
        <is>
          <t>TOTAL ANGGARAN</t>
        </is>
      </c>
      <c r="D53" s="27" t="n"/>
      <c r="E53" s="28">
        <f>SUM(E4:E51)</f>
        <v/>
      </c>
    </row>
    <row r="54" ht="22" customHeight="1">
      <c r="C54" s="29" t="inlineStr">
        <is>
          <t>Sudah dibayar (Lunas)</t>
        </is>
      </c>
      <c r="D54" s="27" t="n"/>
      <c r="E54" s="30">
        <f>SUMIF(F4:F51,"Lunas",E4:E51)</f>
        <v/>
      </c>
    </row>
    <row r="55" ht="22" customHeight="1">
      <c r="C55" s="31" t="inlineStr">
        <is>
          <t>Sisa yang belum dibayar</t>
        </is>
      </c>
      <c r="D55" s="27" t="n"/>
      <c r="E55" s="32">
        <f>E53-E54</f>
        <v/>
      </c>
    </row>
  </sheetData>
  <autoFilter ref="A3:H51"/>
  <mergeCells count="2">
    <mergeCell ref="A2:H2"/>
    <mergeCell ref="A1:H1"/>
  </mergeCells>
  <dataValidations count="2">
    <dataValidation sqref="F4:F51" showDropDown="0" showInputMessage="0" showErrorMessage="0" allowBlank="1" type="list">
      <formula1>"Lunas,DP dibayar,Belum"</formula1>
    </dataValidation>
    <dataValidation sqref="G4:G51" showDropDown="0" showInputMessage="0" showErrorMessage="0" allowBlank="1" type="list">
      <formula1>"Blugether,Ortu Wanita,Ortu Pria,Ortu,Lainnya"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 ht="24" customHeight="1">
      <c r="B1" s="14" t="inlineStr">
        <is>
          <t>TIMELINE MENABUNG</t>
        </is>
      </c>
    </row>
    <row r="2">
      <c r="B2" s="2" t="inlineStr">
        <is>
          <t>Tabungan kumulatif vs beban Blugether. Ubah saldo &amp; tabungan di sheet Ringkasan.</t>
        </is>
      </c>
    </row>
    <row r="4">
      <c r="B4" s="15" t="inlineStr">
        <is>
          <t>Bulan</t>
        </is>
      </c>
      <c r="C4" s="15" t="inlineStr">
        <is>
          <t>Tabungan kumulatif</t>
        </is>
      </c>
      <c r="D4" s="15" t="inlineStr">
        <is>
          <t>Beban Blugether</t>
        </is>
      </c>
      <c r="E4" s="15" t="inlineStr">
        <is>
          <t>Total anggaran</t>
        </is>
      </c>
    </row>
    <row r="5">
      <c r="B5" s="33" t="inlineStr">
        <is>
          <t>Sep 2026</t>
        </is>
      </c>
      <c r="C5" s="13">
        <f>Ringkasan!$F$4+Ringkasan!$F$5*0</f>
        <v/>
      </c>
      <c r="D5" s="34">
        <f>Ringkasan!$C$7</f>
        <v/>
      </c>
      <c r="E5" s="34">
        <f>Budget!$E$53</f>
        <v/>
      </c>
    </row>
    <row r="6">
      <c r="B6" s="33" t="inlineStr">
        <is>
          <t>Okt 2026</t>
        </is>
      </c>
      <c r="C6" s="13">
        <f>Ringkasan!$F$4+Ringkasan!$F$5*1</f>
        <v/>
      </c>
      <c r="D6" s="34">
        <f>Ringkasan!$C$7</f>
        <v/>
      </c>
      <c r="E6" s="34">
        <f>Budget!$E$53</f>
        <v/>
      </c>
    </row>
    <row r="7">
      <c r="B7" s="33" t="inlineStr">
        <is>
          <t>Nov 2026</t>
        </is>
      </c>
      <c r="C7" s="13">
        <f>Ringkasan!$F$4+Ringkasan!$F$5*2</f>
        <v/>
      </c>
      <c r="D7" s="34">
        <f>Ringkasan!$C$7</f>
        <v/>
      </c>
      <c r="E7" s="34">
        <f>Budget!$E$53</f>
        <v/>
      </c>
    </row>
    <row r="8">
      <c r="B8" s="33" t="inlineStr">
        <is>
          <t>Des 2026</t>
        </is>
      </c>
      <c r="C8" s="13">
        <f>Ringkasan!$F$4+Ringkasan!$F$5*3</f>
        <v/>
      </c>
      <c r="D8" s="34">
        <f>Ringkasan!$C$7</f>
        <v/>
      </c>
      <c r="E8" s="34">
        <f>Budget!$E$53</f>
        <v/>
      </c>
    </row>
    <row r="9">
      <c r="B9" s="33" t="inlineStr">
        <is>
          <t>Jan 2027</t>
        </is>
      </c>
      <c r="C9" s="13">
        <f>Ringkasan!$F$4+Ringkasan!$F$5*4</f>
        <v/>
      </c>
      <c r="D9" s="34">
        <f>Ringkasan!$C$7</f>
        <v/>
      </c>
      <c r="E9" s="34">
        <f>Budget!$E$53</f>
        <v/>
      </c>
    </row>
    <row r="10">
      <c r="B10" s="33" t="inlineStr">
        <is>
          <t>Feb 2027</t>
        </is>
      </c>
      <c r="C10" s="13">
        <f>Ringkasan!$F$4+Ringkasan!$F$5*5</f>
        <v/>
      </c>
      <c r="D10" s="34">
        <f>Ringkasan!$C$7</f>
        <v/>
      </c>
      <c r="E10" s="34">
        <f>Budget!$E$53</f>
        <v/>
      </c>
    </row>
    <row r="11">
      <c r="B11" s="33" t="inlineStr">
        <is>
          <t>Mar 2027</t>
        </is>
      </c>
      <c r="C11" s="13">
        <f>Ringkasan!$F$4+Ringkasan!$F$5*6</f>
        <v/>
      </c>
      <c r="D11" s="34">
        <f>Ringkasan!$C$7</f>
        <v/>
      </c>
      <c r="E11" s="34">
        <f>Budget!$E$53</f>
        <v/>
      </c>
    </row>
    <row r="12">
      <c r="B12" s="33" t="inlineStr">
        <is>
          <t>Apr 2027</t>
        </is>
      </c>
      <c r="C12" s="13">
        <f>Ringkasan!$F$4+Ringkasan!$F$5*7</f>
        <v/>
      </c>
      <c r="D12" s="34">
        <f>Ringkasan!$C$7</f>
        <v/>
      </c>
      <c r="E12" s="34">
        <f>Budget!$E$53</f>
        <v/>
      </c>
    </row>
    <row r="13">
      <c r="B13" s="33" t="inlineStr">
        <is>
          <t>Mei 2027</t>
        </is>
      </c>
      <c r="C13" s="13">
        <f>Ringkasan!$F$4+Ringkasan!$F$5*8</f>
        <v/>
      </c>
      <c r="D13" s="34">
        <f>Ringkasan!$C$7</f>
        <v/>
      </c>
      <c r="E13" s="34">
        <f>Budget!$E$53</f>
        <v/>
      </c>
    </row>
    <row r="14">
      <c r="B14" s="33" t="inlineStr">
        <is>
          <t>Jun 2027</t>
        </is>
      </c>
      <c r="C14" s="13">
        <f>Ringkasan!$F$4+Ringkasan!$F$5*9</f>
        <v/>
      </c>
      <c r="D14" s="34">
        <f>Ringkasan!$C$7</f>
        <v/>
      </c>
      <c r="E14" s="34">
        <f>Budget!$E$53</f>
        <v/>
      </c>
    </row>
    <row r="15">
      <c r="B15" s="33" t="inlineStr">
        <is>
          <t>Jul 2027</t>
        </is>
      </c>
      <c r="C15" s="13">
        <f>Ringkasan!$F$4+Ringkasan!$F$5*10</f>
        <v/>
      </c>
      <c r="D15" s="34">
        <f>Ringkasan!$C$7</f>
        <v/>
      </c>
      <c r="E15" s="34">
        <f>Budget!$E$53</f>
        <v/>
      </c>
    </row>
    <row r="16">
      <c r="B16" s="33" t="inlineStr">
        <is>
          <t>Agu 2027</t>
        </is>
      </c>
      <c r="C16" s="13">
        <f>Ringkasan!$F$4+Ringkasan!$F$5*11</f>
        <v/>
      </c>
      <c r="D16" s="34">
        <f>Ringkasan!$C$7</f>
        <v/>
      </c>
      <c r="E16" s="34">
        <f>Budget!$E$53</f>
        <v/>
      </c>
    </row>
    <row r="17">
      <c r="B17" s="33" t="inlineStr">
        <is>
          <t>Sep 2027</t>
        </is>
      </c>
      <c r="C17" s="13">
        <f>Ringkasan!$F$4+Ringkasan!$F$5*12</f>
        <v/>
      </c>
      <c r="D17" s="34">
        <f>Ringkasan!$C$7</f>
        <v/>
      </c>
      <c r="E17" s="34">
        <f>Budget!$E$53</f>
        <v/>
      </c>
    </row>
    <row r="18">
      <c r="B18" s="33" t="inlineStr">
        <is>
          <t>Okt 2027</t>
        </is>
      </c>
      <c r="C18" s="13">
        <f>Ringkasan!$F$4+Ringkasan!$F$5*13</f>
        <v/>
      </c>
      <c r="D18" s="34">
        <f>Ringkasan!$C$7</f>
        <v/>
      </c>
      <c r="E18" s="34">
        <f>Budget!$E$53</f>
        <v/>
      </c>
    </row>
    <row r="19">
      <c r="B19" s="33" t="inlineStr">
        <is>
          <t>Nov 2027</t>
        </is>
      </c>
      <c r="C19" s="13">
        <f>Ringkasan!$F$4+Ringkasan!$F$5*14</f>
        <v/>
      </c>
      <c r="D19" s="34">
        <f>Ringkasan!$C$7</f>
        <v/>
      </c>
      <c r="E19" s="34">
        <f>Budget!$E$53</f>
        <v/>
      </c>
    </row>
    <row r="20">
      <c r="B20" s="33" t="inlineStr">
        <is>
          <t>Des 2027</t>
        </is>
      </c>
      <c r="C20" s="13">
        <f>Ringkasan!$F$4+Ringkasan!$F$5*15</f>
        <v/>
      </c>
      <c r="D20" s="34">
        <f>Ringkasan!$C$7</f>
        <v/>
      </c>
      <c r="E20" s="34">
        <f>Budget!$E$53</f>
        <v/>
      </c>
    </row>
    <row r="21">
      <c r="B21" s="33" t="inlineStr">
        <is>
          <t>Jan 2028</t>
        </is>
      </c>
      <c r="C21" s="13">
        <f>Ringkasan!$F$4+Ringkasan!$F$5*16</f>
        <v/>
      </c>
      <c r="D21" s="34">
        <f>Ringkasan!$C$7</f>
        <v/>
      </c>
      <c r="E21" s="34">
        <f>Budget!$E$53</f>
        <v/>
      </c>
    </row>
    <row r="22">
      <c r="B22" s="33" t="inlineStr">
        <is>
          <t>Feb 2028</t>
        </is>
      </c>
      <c r="C22" s="13">
        <f>Ringkasan!$F$4+Ringkasan!$F$5*17</f>
        <v/>
      </c>
      <c r="D22" s="34">
        <f>Ringkasan!$C$7</f>
        <v/>
      </c>
      <c r="E22" s="34">
        <f>Budget!$E$53</f>
        <v/>
      </c>
    </row>
    <row r="23">
      <c r="B23" s="33" t="inlineStr">
        <is>
          <t>Mar 2028</t>
        </is>
      </c>
      <c r="C23" s="13">
        <f>Ringkasan!$F$4+Ringkasan!$F$5*18</f>
        <v/>
      </c>
      <c r="D23" s="34">
        <f>Ringkasan!$C$7</f>
        <v/>
      </c>
      <c r="E23" s="34">
        <f>Budget!$E$53</f>
        <v/>
      </c>
    </row>
    <row r="24">
      <c r="B24" s="33" t="inlineStr">
        <is>
          <t>Apr 2028</t>
        </is>
      </c>
      <c r="C24" s="13">
        <f>Ringkasan!$F$4+Ringkasan!$F$5*19</f>
        <v/>
      </c>
      <c r="D24" s="34">
        <f>Ringkasan!$C$7</f>
        <v/>
      </c>
      <c r="E24" s="34">
        <f>Budget!$E$53</f>
        <v/>
      </c>
    </row>
    <row r="25">
      <c r="B25" s="33" t="inlineStr">
        <is>
          <t>Mei 2028</t>
        </is>
      </c>
      <c r="C25" s="13">
        <f>Ringkasan!$F$4+Ringkasan!$F$5*20</f>
        <v/>
      </c>
      <c r="D25" s="34">
        <f>Ringkasan!$C$7</f>
        <v/>
      </c>
      <c r="E25" s="34">
        <f>Budget!$E$53</f>
        <v/>
      </c>
    </row>
    <row r="26">
      <c r="B26" s="33" t="inlineStr">
        <is>
          <t>Jun 2028</t>
        </is>
      </c>
      <c r="C26" s="13">
        <f>Ringkasan!$F$4+Ringkasan!$F$5*21</f>
        <v/>
      </c>
      <c r="D26" s="34">
        <f>Ringkasan!$C$7</f>
        <v/>
      </c>
      <c r="E26" s="34">
        <f>Budget!$E$53</f>
        <v/>
      </c>
    </row>
    <row r="27">
      <c r="B27" s="33" t="inlineStr">
        <is>
          <t>Jul 2028</t>
        </is>
      </c>
      <c r="C27" s="13">
        <f>Ringkasan!$F$4+Ringkasan!$F$5*22</f>
        <v/>
      </c>
      <c r="D27" s="34">
        <f>Ringkasan!$C$7</f>
        <v/>
      </c>
      <c r="E27" s="34">
        <f>Budget!$E$53</f>
        <v/>
      </c>
    </row>
    <row r="28">
      <c r="B28" s="33" t="inlineStr">
        <is>
          <t>Agu 2028</t>
        </is>
      </c>
      <c r="C28" s="13">
        <f>Ringkasan!$F$4+Ringkasan!$F$5*23</f>
        <v/>
      </c>
      <c r="D28" s="34">
        <f>Ringkasan!$C$7</f>
        <v/>
      </c>
      <c r="E28" s="34">
        <f>Budget!$E$53</f>
        <v/>
      </c>
    </row>
    <row r="29">
      <c r="B29" s="33" t="inlineStr">
        <is>
          <t>Sep 2028</t>
        </is>
      </c>
      <c r="C29" s="13">
        <f>Ringkasan!$F$4+Ringkasan!$F$5*24</f>
        <v/>
      </c>
      <c r="D29" s="34">
        <f>Ringkasan!$C$7</f>
        <v/>
      </c>
      <c r="E29" s="34">
        <f>Budget!$E$53</f>
        <v/>
      </c>
    </row>
    <row r="30">
      <c r="B30" s="33" t="inlineStr">
        <is>
          <t>Okt 2028</t>
        </is>
      </c>
      <c r="C30" s="13">
        <f>Ringkasan!$F$4+Ringkasan!$F$5*25</f>
        <v/>
      </c>
      <c r="D30" s="34">
        <f>Ringkasan!$C$7</f>
        <v/>
      </c>
      <c r="E30" s="34">
        <f>Budget!$E$53</f>
        <v/>
      </c>
    </row>
    <row r="31">
      <c r="B31" s="33" t="inlineStr">
        <is>
          <t>Nov 2028</t>
        </is>
      </c>
      <c r="C31" s="13">
        <f>Ringkasan!$F$4+Ringkasan!$F$5*26</f>
        <v/>
      </c>
      <c r="D31" s="34">
        <f>Ringkasan!$C$7</f>
        <v/>
      </c>
      <c r="E31" s="34">
        <f>Budget!$E$53</f>
        <v/>
      </c>
    </row>
    <row r="32">
      <c r="B32" s="33" t="inlineStr">
        <is>
          <t>Des 2028</t>
        </is>
      </c>
      <c r="C32" s="13">
        <f>Ringkasan!$F$4+Ringkasan!$F$5*27</f>
        <v/>
      </c>
      <c r="D32" s="34">
        <f>Ringkasan!$C$7</f>
        <v/>
      </c>
      <c r="E32" s="34">
        <f>Budget!$E$53</f>
        <v/>
      </c>
    </row>
    <row r="35">
      <c r="E35" s="10" t="inlineStr">
        <is>
          <t>Milestone</t>
        </is>
      </c>
    </row>
    <row r="36">
      <c r="E36" s="35" t="inlineStr">
        <is>
          <t>November 2026</t>
        </is>
      </c>
      <c r="F36" s="36" t="inlineStr">
        <is>
          <t>Lamaran / tunangan</t>
        </is>
      </c>
    </row>
    <row r="37">
      <c r="E37" s="35" t="inlineStr">
        <is>
          <t>H-1 pernikahan</t>
        </is>
      </c>
      <c r="F37" s="36" t="inlineStr">
        <is>
          <t>Siraman</t>
        </is>
      </c>
    </row>
    <row r="38">
      <c r="E38" s="35" t="inlineStr">
        <is>
          <t>± April 2028</t>
        </is>
      </c>
      <c r="F38" s="36" t="inlineStr">
        <is>
          <t>Akad &amp; resepsi — Syawal 1449 H</t>
        </is>
      </c>
    </row>
  </sheetData>
  <mergeCells count="2">
    <mergeCell ref="B2:F2"/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2026-09-14T15:13:35Z</dcterms:created>
  <dcterms:modified xmlns:dcterms="http://purl.org/dc/terms/" xmlns:xsi="http://www.w3.org/2001/XMLSchema-instance" xsi:type="dcterms:W3CDTF">2026-09-14T15:13:35Z</dcterms:modified>
</cp:coreProperties>
</file>