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ngagement" sheetId="3" state="visible" r:id="rId3"/>
    <sheet xmlns:r="http://schemas.openxmlformats.org/officeDocument/2006/relationships" name="Wedding Budg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06060"/>
      <sz val="10"/>
    </font>
    <font>
      <name val="Arial"/>
      <b val="1"/>
      <color rgb="001F3864"/>
      <sz val="12"/>
    </font>
    <font>
      <name val="Arial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06060"/>
      <sz val="8"/>
    </font>
    <font>
      <name val="Arial"/>
      <color rgb="00000000"/>
      <sz val="10"/>
    </font>
    <font>
      <name val="Arial"/>
      <b val="1"/>
      <color rgb="001F3864"/>
      <sz val="11"/>
    </font>
    <font>
      <name val="Arial"/>
      <i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11" fillId="0" borderId="0" pivotButton="0" quotePrefix="0" xfId="0"/>
    <xf numFmtId="0" fontId="4" fillId="0" borderId="1" pivotButton="0" quotePrefix="0" xfId="0"/>
    <xf numFmtId="0" fontId="8" fillId="4" borderId="1" applyAlignment="1" pivotButton="0" quotePrefix="0" xfId="0">
      <alignment horizontal="center" vertical="center"/>
    </xf>
    <xf numFmtId="0" fontId="7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9" fillId="5" borderId="1" pivotButton="0" quotePrefix="0" xfId="0"/>
    <xf numFmtId="0" fontId="9" fillId="0" borderId="1" pivotButton="0" quotePrefix="0" xfId="0"/>
    <xf numFmtId="0" fontId="7" fillId="6" borderId="1" pivotButton="0" quotePrefix="0" xfId="0"/>
    <xf numFmtId="164" fontId="7" fillId="6" borderId="1" applyAlignment="1" pivotButton="0" quotePrefix="0" xfId="0">
      <alignment horizontal="right" vertical="center"/>
    </xf>
    <xf numFmtId="0" fontId="9" fillId="6" borderId="1" pivotButton="0" quotePrefix="0" xfId="0"/>
    <xf numFmtId="0" fontId="6" fillId="7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12" fillId="7" borderId="1" pivotButton="0" quotePrefix="0" xfId="0"/>
    <xf numFmtId="0" fontId="4" fillId="0" borderId="0" pivotButton="0" quotePrefix="0" xfId="0"/>
    <xf numFmtId="164" fontId="10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7" customWidth="1" min="3" max="3"/>
    <col width="34" customWidth="1" min="4" max="4"/>
    <col width="3" customWidth="1" min="5" max="5"/>
  </cols>
  <sheetData>
    <row r="2">
      <c r="B2" s="1" t="inlineStr">
        <is>
          <t>Wedding &amp; Engagement Plan</t>
        </is>
      </c>
    </row>
    <row r="3">
      <c r="B3" s="2" t="inlineStr">
        <is>
          <t>All figures in Rp million. Blue = an input you can change · Black = formula · Green = pulled from another tab.</t>
        </is>
      </c>
    </row>
    <row r="5">
      <c r="B5" s="3" t="inlineStr">
        <is>
          <t>Where the money stands</t>
        </is>
      </c>
    </row>
    <row r="6">
      <c r="B6" s="4" t="inlineStr">
        <is>
          <t>Current joint balance (Blugether)</t>
        </is>
      </c>
      <c r="C6" s="5">
        <f>Assumptions!C5</f>
        <v/>
      </c>
    </row>
    <row r="7">
      <c r="B7" s="4" t="inlineStr">
        <is>
          <t>Combined saving / month</t>
        </is>
      </c>
      <c r="C7" s="5">
        <f>Assumptions!C8</f>
        <v/>
      </c>
    </row>
    <row r="8">
      <c r="B8" s="4" t="inlineStr">
        <is>
          <t>Engagement phase cost (event + ring)</t>
        </is>
      </c>
      <c r="C8" s="5">
        <f>Engagement!C14</f>
        <v/>
      </c>
    </row>
    <row r="9">
      <c r="B9" s="4" t="inlineStr">
        <is>
          <t>Wedding total — Option A</t>
        </is>
      </c>
      <c r="C9" s="5">
        <f>'Wedding Budget'!C40</f>
        <v/>
      </c>
    </row>
    <row r="10">
      <c r="B10" s="4" t="inlineStr">
        <is>
          <t>Wedding total — Option B</t>
        </is>
      </c>
      <c r="C10" s="5">
        <f>'Wedding Budget'!D40</f>
        <v/>
      </c>
    </row>
    <row r="13">
      <c r="B13" s="3" t="inlineStr">
        <is>
          <t>Can we afford it, and when?</t>
        </is>
      </c>
    </row>
    <row r="14">
      <c r="B14" s="6" t="inlineStr">
        <is>
          <t>Milestone</t>
        </is>
      </c>
      <c r="C14" s="6" t="inlineStr">
        <is>
          <t>Funds available</t>
        </is>
      </c>
      <c r="D14" s="6" t="inlineStr">
        <is>
          <t>Verdict</t>
        </is>
      </c>
    </row>
    <row r="15">
      <c r="B15" s="7" t="inlineStr">
        <is>
          <t>Engagement — Nov 2026</t>
        </is>
      </c>
      <c r="C15" s="8">
        <f>Cashflow!C7+Cashflow!D7</f>
        <v/>
      </c>
      <c r="D15" s="9">
        <f>IF(C15&gt;=Engagement!C14,"Funded ✓","Short")</f>
        <v/>
      </c>
    </row>
    <row r="16">
      <c r="B16" s="7" t="inlineStr">
        <is>
          <t>Wedding Option A — Aug 2027</t>
        </is>
      </c>
      <c r="C16" s="8">
        <f>Cashflow!F16</f>
        <v/>
      </c>
      <c r="D16" s="9">
        <f>IF(C16&gt;='Wedding Budget'!C40,"Funded ✓, surplus "&amp;TEXT(C16-'Wedding Budget'!C40,"#,##0.0"),"Short by "&amp;TEXT('Wedding Budget'!C40-C16,"#,##0.0"))</f>
        <v/>
      </c>
    </row>
    <row r="17">
      <c r="B17" s="7" t="inlineStr">
        <is>
          <t>Wedding Option A — Nov 2027</t>
        </is>
      </c>
      <c r="C17" s="8">
        <f>Cashflow!F19</f>
        <v/>
      </c>
      <c r="D17" s="9">
        <f>IF(C17&gt;='Wedding Budget'!C40,"Funded ✓, surplus "&amp;TEXT(C17-'Wedding Budget'!C40,"#,##0.0"),"Short by "&amp;TEXT('Wedding Budget'!C40-C17,"#,##0.0"))</f>
        <v/>
      </c>
    </row>
    <row r="18">
      <c r="B18" s="7" t="inlineStr">
        <is>
          <t>Wedding Option B — Dec 2027</t>
        </is>
      </c>
      <c r="C18" s="8">
        <f>Cashflow!F20</f>
        <v/>
      </c>
      <c r="D18" s="9">
        <f>IF(C18&gt;='Wedding Budget'!D40,"Funded ✓","Short by "&amp;TEXT('Wedding Budget'!D40-C18,"#,##0.0")&amp;" mio")</f>
        <v/>
      </c>
    </row>
    <row r="20">
      <c r="B20" s="2" t="inlineStr">
        <is>
          <t>Read the tabs left → right: Assumptions · Engagement · Wedding Budget (A vs B) · Cashflow · Timeline.</t>
        </is>
      </c>
    </row>
  </sheetData>
  <mergeCells count="2">
    <mergeCell ref="B3:D3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44" customWidth="1" min="4" max="4"/>
  </cols>
  <sheetData>
    <row r="2">
      <c r="B2" s="1" t="inlineStr">
        <is>
          <t>Assumptions &amp; Levers</t>
        </is>
      </c>
    </row>
    <row r="3">
      <c r="B3" s="2" t="inlineStr">
        <is>
          <t>Change any blue cell — every other tab recalculates.</t>
        </is>
      </c>
    </row>
    <row r="4">
      <c r="B4" s="6" t="inlineStr">
        <is>
          <t>Item</t>
        </is>
      </c>
      <c r="C4" s="6" t="inlineStr">
        <is>
          <t>Value</t>
        </is>
      </c>
      <c r="D4" s="6" t="inlineStr">
        <is>
          <t>Note</t>
        </is>
      </c>
    </row>
    <row r="5">
      <c r="B5" s="7" t="inlineStr">
        <is>
          <t>Current joint balance</t>
        </is>
      </c>
      <c r="C5" s="10" t="n">
        <v>50</v>
      </c>
      <c r="D5" s="11" t="inlineStr">
        <is>
          <t>Blugether joint savings today (Sep 2026)</t>
        </is>
      </c>
    </row>
    <row r="6">
      <c r="B6" s="7" t="inlineStr">
        <is>
          <t>Girl — contribution / month</t>
        </is>
      </c>
      <c r="C6" s="10" t="n">
        <v>2</v>
      </c>
      <c r="D6" s="11" t="inlineStr">
        <is>
          <t>Monthly transfer into Blugether</t>
        </is>
      </c>
    </row>
    <row r="7">
      <c r="B7" s="7" t="inlineStr">
        <is>
          <t>Boy — contribution / month</t>
        </is>
      </c>
      <c r="C7" s="10" t="n">
        <v>3</v>
      </c>
      <c r="D7" s="11" t="inlineStr">
        <is>
          <t>Monthly transfer into Blugether</t>
        </is>
      </c>
    </row>
    <row r="8">
      <c r="B8" s="7" t="inlineStr">
        <is>
          <t>Combined saving / month</t>
        </is>
      </c>
      <c r="C8" s="12">
        <f>C6+C7</f>
        <v/>
      </c>
      <c r="D8" s="11" t="inlineStr">
        <is>
          <t>Auto: girl + boy</t>
        </is>
      </c>
    </row>
    <row r="9">
      <c r="B9" s="7" t="inlineStr">
        <is>
          <t>Engagement ring (for the girl)</t>
        </is>
      </c>
      <c r="C9" s="10" t="n">
        <v>12.8</v>
      </c>
      <c r="D9" s="11" t="inlineStr">
        <is>
          <t>One-off, paid around engagement</t>
        </is>
      </c>
    </row>
    <row r="10">
      <c r="B10" s="7" t="inlineStr">
        <is>
          <t>Wedding rings (both)</t>
        </is>
      </c>
      <c r="C10" s="10" t="n">
        <v>9</v>
      </c>
      <c r="D10" s="11" t="inlineStr">
        <is>
          <t>One-off, inside the wedding budget</t>
        </is>
      </c>
    </row>
    <row r="11">
      <c r="B11" s="7" t="inlineStr">
        <is>
          <t>Groom loafers — already bought</t>
        </is>
      </c>
      <c r="C11" s="10" t="n">
        <v>1.6</v>
      </c>
      <c r="D11" s="11" t="inlineStr">
        <is>
          <t>Sunk cost — already paid, not from the pool</t>
        </is>
      </c>
    </row>
    <row r="12">
      <c r="B12" s="7" t="inlineStr">
        <is>
          <t>Contingency / buffer</t>
        </is>
      </c>
      <c r="C12" s="13" t="n">
        <v>0.1</v>
      </c>
      <c r="D12" s="11" t="inlineStr">
        <is>
          <t>% added on top of the wedding line items</t>
        </is>
      </c>
    </row>
    <row r="15">
      <c r="B15" s="14" t="inlineStr">
        <is>
          <t>Timeline anchors</t>
        </is>
      </c>
    </row>
    <row r="16">
      <c r="B16" s="6" t="inlineStr">
        <is>
          <t>Anchor</t>
        </is>
      </c>
      <c r="C16" s="6" t="inlineStr">
        <is>
          <t>When</t>
        </is>
      </c>
      <c r="D16" s="6" t="inlineStr">
        <is>
          <t>Detail</t>
        </is>
      </c>
    </row>
    <row r="17">
      <c r="B17" s="15" t="inlineStr">
        <is>
          <t>Plan start</t>
        </is>
      </c>
      <c r="C17" s="16" t="inlineStr">
        <is>
          <t>Sep 2026</t>
        </is>
      </c>
      <c r="D17" s="11" t="inlineStr">
        <is>
          <t>Today</t>
        </is>
      </c>
    </row>
    <row r="18">
      <c r="B18" s="15" t="inlineStr">
        <is>
          <t>Engagement</t>
        </is>
      </c>
      <c r="C18" s="16" t="inlineStr">
        <is>
          <t>Nov 2026</t>
        </is>
      </c>
      <c r="D18" s="11" t="inlineStr">
        <is>
          <t>At the girl's home, ~20 people</t>
        </is>
      </c>
    </row>
    <row r="19">
      <c r="B19" s="15" t="inlineStr">
        <is>
          <t>Wedding window</t>
        </is>
      </c>
      <c r="C19" s="16" t="inlineStr">
        <is>
          <t>2027</t>
        </is>
      </c>
      <c r="D19" s="11" t="inlineStr">
        <is>
          <t>Subtle wedding — see Timeline tab for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48" customWidth="1" min="4" max="4"/>
  </cols>
  <sheetData>
    <row r="2">
      <c r="B2" s="1" t="inlineStr">
        <is>
          <t>Engagement — Nov 2026</t>
        </is>
      </c>
    </row>
    <row r="3">
      <c r="B3" s="2" t="inlineStr">
        <is>
          <t>At the girl's home · home-cooked meal · ~20 guests · target Rp 5.0 mio (the ring is tracked separately).</t>
        </is>
      </c>
    </row>
    <row r="5">
      <c r="B5" s="6" t="inlineStr">
        <is>
          <t>Item</t>
        </is>
      </c>
      <c r="C5" s="6" t="inlineStr">
        <is>
          <t>Cost</t>
        </is>
      </c>
      <c r="D5" s="6" t="inlineStr">
        <is>
          <t>Detail</t>
        </is>
      </c>
    </row>
    <row r="6">
      <c r="B6" s="7" t="inlineStr">
        <is>
          <t>Tenda + chairs (rental)</t>
        </is>
      </c>
      <c r="C6" s="10" t="n">
        <v>1.5</v>
      </c>
      <c r="D6" s="11" t="inlineStr">
        <is>
          <t>Small tent, 20 chairs, tables — 1 day</t>
        </is>
      </c>
    </row>
    <row r="7">
      <c r="B7" s="7" t="inlineStr">
        <is>
          <t>Decoration &amp; flowers</t>
        </is>
      </c>
      <c r="C7" s="10" t="n">
        <v>1.5</v>
      </c>
      <c r="D7" s="11" t="inlineStr">
        <is>
          <t>Backdrop, drapes, fresh flowers, lighting</t>
        </is>
      </c>
    </row>
    <row r="8">
      <c r="B8" s="7" t="inlineStr">
        <is>
          <t>Food top-up &amp; drinks</t>
        </is>
      </c>
      <c r="C8" s="10" t="n">
        <v>1</v>
      </c>
      <c r="D8" s="11" t="inlineStr">
        <is>
          <t>Ingredients for the home-cooked spread, snacks, ice, water</t>
        </is>
      </c>
    </row>
    <row r="9">
      <c r="B9" s="7" t="inlineStr">
        <is>
          <t>Seserahan / hantaran trays</t>
        </is>
      </c>
      <c r="C9" s="10" t="n">
        <v>0.5</v>
      </c>
      <c r="D9" s="11" t="inlineStr">
        <is>
          <t>Trays + wrapping for the exchange gifts</t>
        </is>
      </c>
    </row>
    <row r="10">
      <c r="B10" s="7" t="inlineStr">
        <is>
          <t>Documentation</t>
        </is>
      </c>
      <c r="C10" s="10" t="n">
        <v>0.3</v>
      </c>
      <c r="D10" s="11" t="inlineStr">
        <is>
          <t>Half-day photographer, or a skilled friend</t>
        </is>
      </c>
    </row>
    <row r="11">
      <c r="B11" s="7" t="inlineStr">
        <is>
          <t>Buffer / misc</t>
        </is>
      </c>
      <c r="C11" s="10" t="n">
        <v>0.2</v>
      </c>
      <c r="D11" s="11" t="inlineStr">
        <is>
          <t>Small unexpected extras</t>
        </is>
      </c>
    </row>
    <row r="12">
      <c r="B12" s="17" t="inlineStr">
        <is>
          <t>Engagement event total</t>
        </is>
      </c>
      <c r="C12" s="18">
        <f>SUM(C6:C11)</f>
        <v/>
      </c>
      <c r="D12" s="19" t="inlineStr">
        <is>
          <t>Target was Rp 5.0 mio</t>
        </is>
      </c>
    </row>
    <row r="13">
      <c r="B13" s="15" t="inlineStr">
        <is>
          <t>vs target (5.0)</t>
        </is>
      </c>
      <c r="C13" s="12">
        <f>5-C12</f>
        <v/>
      </c>
      <c r="D13" s="20" t="inlineStr">
        <is>
          <t>Positive = under target</t>
        </is>
      </c>
    </row>
    <row r="14">
      <c r="B14" s="21" t="inlineStr">
        <is>
          <t>Engagement PHASE total (event + ring)</t>
        </is>
      </c>
      <c r="C14" s="22">
        <f>C12+Assumptions!C9</f>
        <v/>
      </c>
      <c r="D14" s="23">
        <f>"Ring Rp "&amp;TEXT(Assumptions!C9,"#,##0.0")&amp;" mio added"</f>
        <v/>
      </c>
    </row>
  </sheetData>
  <mergeCells count="1">
    <mergeCell ref="B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42" customWidth="1" min="5" max="5"/>
  </cols>
  <sheetData>
    <row r="2">
      <c r="B2" s="1" t="inlineStr">
        <is>
          <t>Wedding Budget — Option A vs Option B</t>
        </is>
      </c>
    </row>
    <row r="3">
      <c r="B3" s="2" t="inlineStr">
        <is>
          <t>Subtle Javanese-adat wedding at Rooang. Pre-wed kept to the siraman; full reception day (MC, music, hotel). A = intimate/lean · B = grander. Rp mio.</t>
        </is>
      </c>
    </row>
    <row r="5">
      <c r="B5" s="24" t="inlineStr">
        <is>
          <t>Key drivers</t>
        </is>
      </c>
      <c r="C5" s="24" t="inlineStr">
        <is>
          <t>Option A</t>
        </is>
      </c>
      <c r="D5" s="24" t="inlineStr">
        <is>
          <t>Option B</t>
        </is>
      </c>
      <c r="E5" s="24" t="inlineStr">
        <is>
          <t>Note</t>
        </is>
      </c>
    </row>
    <row r="6">
      <c r="B6" s="7" t="inlineStr">
        <is>
          <t>Guest count (reception)</t>
        </is>
      </c>
      <c r="C6" s="25" t="n">
        <v>50</v>
      </c>
      <c r="D6" s="25" t="n">
        <v>100</v>
      </c>
      <c r="E6" s="11" t="inlineStr">
        <is>
          <t>Subtle = small. Drives catering &amp; souvenirs</t>
        </is>
      </c>
    </row>
    <row r="7">
      <c r="B7" s="7" t="inlineStr">
        <is>
          <t>Catering rate / guest</t>
        </is>
      </c>
      <c r="C7" s="10" t="n">
        <v>0.15</v>
      </c>
      <c r="D7" s="10" t="n">
        <v>0.2</v>
      </c>
      <c r="E7" s="11" t="inlineStr">
        <is>
          <t>Per head — Dharmawangsa-area boutique</t>
        </is>
      </c>
    </row>
    <row r="8">
      <c r="B8" s="7" t="inlineStr">
        <is>
          <t>Souvenir rate / guest</t>
        </is>
      </c>
      <c r="C8" s="10" t="n">
        <v>0.015</v>
      </c>
      <c r="D8" s="10" t="n">
        <v>0.025</v>
      </c>
      <c r="E8" s="11" t="inlineStr">
        <is>
          <t>Per favour</t>
        </is>
      </c>
    </row>
    <row r="10">
      <c r="B10" s="6" t="inlineStr">
        <is>
          <t>Line item</t>
        </is>
      </c>
      <c r="C10" s="6" t="inlineStr">
        <is>
          <t>Option A</t>
        </is>
      </c>
      <c r="D10" s="6" t="inlineStr">
        <is>
          <t>Option B</t>
        </is>
      </c>
      <c r="E10" s="6" t="inlineStr">
        <is>
          <t>What it covers</t>
        </is>
      </c>
    </row>
    <row r="11">
      <c r="B11" s="7" t="inlineStr">
        <is>
          <t>Siraman ceremony</t>
        </is>
      </c>
      <c r="C11" s="10" t="inlineStr">
        <is>
          <t>3</t>
        </is>
      </c>
      <c r="D11" s="10" t="inlineStr">
        <is>
          <t>5</t>
        </is>
      </c>
      <c r="E11" s="11" t="inlineStr">
        <is>
          <t>Setaman flowers, seven-spring water, kendi, dawet, tumpeng, simple gendhing</t>
        </is>
      </c>
    </row>
    <row r="12">
      <c r="B12" s="7" t="inlineStr">
        <is>
          <t>Siraman family catering</t>
        </is>
      </c>
      <c r="C12" s="10" t="inlineStr">
        <is>
          <t>1.5</t>
        </is>
      </c>
      <c r="D12" s="10" t="inlineStr">
        <is>
          <t>3</t>
        </is>
      </c>
      <c r="E12" s="11" t="inlineStr">
        <is>
          <t>Home meal for family on the siraman day</t>
        </is>
      </c>
    </row>
    <row r="13">
      <c r="B13" s="7" t="inlineStr">
        <is>
          <t>Venue — Rooang Dharmawangsa</t>
        </is>
      </c>
      <c r="C13" s="10" t="inlineStr">
        <is>
          <t>15</t>
        </is>
      </c>
      <c r="D13" s="10" t="inlineStr">
        <is>
          <t>25</t>
        </is>
      </c>
      <c r="E13" s="11" t="inlineStr">
        <is>
          <t>A: reception (akad at home) · B: full akad + reception</t>
        </is>
      </c>
    </row>
    <row r="14">
      <c r="B14" s="7" t="inlineStr">
        <is>
          <t>Panggih (temu manten) props</t>
        </is>
      </c>
      <c r="C14" s="10" t="inlineStr">
        <is>
          <t>2</t>
        </is>
      </c>
      <c r="D14" s="10" t="inlineStr">
        <is>
          <t>3.5</t>
        </is>
      </c>
      <c r="E14" s="11" t="inlineStr">
        <is>
          <t>Kembar mayang ×2, suruh, egg, kacar-kucur, sindur</t>
        </is>
      </c>
    </row>
    <row r="15">
      <c r="B15" s="7" t="inlineStr">
        <is>
          <t>Penghulu / KUA (akad)</t>
        </is>
      </c>
      <c r="C15" s="10" t="inlineStr">
        <is>
          <t>0.6</t>
        </is>
      </c>
      <c r="D15" s="10" t="inlineStr">
        <is>
          <t>0.6</t>
        </is>
      </c>
      <c r="E15" s="11" t="inlineStr">
        <is>
          <t>Officiant outside office hours</t>
        </is>
      </c>
    </row>
    <row r="16">
      <c r="B16" s="7" t="inlineStr">
        <is>
          <t>Day-of coordinator (akad + reception)</t>
        </is>
      </c>
      <c r="C16" s="10" t="inlineStr">
        <is>
          <t>3</t>
        </is>
      </c>
      <c r="D16" s="10" t="inlineStr">
        <is>
          <t>5</t>
        </is>
      </c>
      <c r="E16" s="11" t="inlineStr">
        <is>
          <t>Koordinator hari-H — runs the rundown, cues vendors</t>
        </is>
      </c>
    </row>
    <row r="17">
      <c r="B17" s="7" t="inlineStr">
        <is>
          <t>MC / host (akad + reception)</t>
        </is>
      </c>
      <c r="C17" s="10" t="inlineStr">
        <is>
          <t>2.5</t>
        </is>
      </c>
      <c r="D17" s="10" t="inlineStr">
        <is>
          <t>4</t>
        </is>
      </c>
      <c r="E17" s="11" t="inlineStr">
        <is>
          <t>Bilingual host keeping the flow</t>
        </is>
      </c>
    </row>
    <row r="18">
      <c r="B18" s="7" t="inlineStr">
        <is>
          <t>Reception catering</t>
        </is>
      </c>
      <c r="C18" s="12">
        <f>C6*C7</f>
        <v/>
      </c>
      <c r="D18" s="12">
        <f>D6*D7</f>
        <v/>
      </c>
      <c r="E18" s="11" t="inlineStr">
        <is>
          <t>Guests × rate / guest</t>
        </is>
      </c>
    </row>
    <row r="19">
      <c r="B19" s="7" t="inlineStr">
        <is>
          <t>Reception decor &amp; floral — Rooang</t>
        </is>
      </c>
      <c r="C19" s="10" t="inlineStr">
        <is>
          <t>5</t>
        </is>
      </c>
      <c r="D19" s="10" t="inlineStr">
        <is>
          <t>12</t>
        </is>
      </c>
      <c r="E19" s="11" t="inlineStr">
        <is>
          <t>Subtle &amp; elegant: stage, entrance, aisle, table florals</t>
        </is>
      </c>
    </row>
    <row r="20">
      <c r="B20" s="7" t="inlineStr">
        <is>
          <t>Entertainment — live music</t>
        </is>
      </c>
      <c r="C20" s="10" t="inlineStr">
        <is>
          <t>3.5</t>
        </is>
      </c>
      <c r="D20" s="10" t="inlineStr">
        <is>
          <t>8</t>
        </is>
      </c>
      <c r="E20" s="11" t="inlineStr">
        <is>
          <t>A: acoustic trio · B: full band</t>
        </is>
      </c>
    </row>
    <row r="21">
      <c r="B21" s="7" t="inlineStr">
        <is>
          <t>Hotel room — bridal suite (1 night)</t>
        </is>
      </c>
      <c r="C21" s="10" t="inlineStr">
        <is>
          <t>2.5</t>
        </is>
      </c>
      <c r="D21" s="10" t="inlineStr">
        <is>
          <t>5</t>
        </is>
      </c>
      <c r="E21" s="11" t="inlineStr">
        <is>
          <t>Wedding-night room for the couple</t>
        </is>
      </c>
    </row>
    <row r="22">
      <c r="B22" s="7" t="inlineStr">
        <is>
          <t>Wedding cake &amp; dessert</t>
        </is>
      </c>
      <c r="C22" s="10" t="inlineStr">
        <is>
          <t>1</t>
        </is>
      </c>
      <c r="D22" s="10" t="inlineStr">
        <is>
          <t>2.5</t>
        </is>
      </c>
      <c r="E22" s="11" t="inlineStr">
        <is>
          <t>Cake + sweet corner</t>
        </is>
      </c>
    </row>
    <row r="23">
      <c r="B23" s="7" t="inlineStr">
        <is>
          <t>Souvenirs / favours</t>
        </is>
      </c>
      <c r="C23" s="12">
        <f>C6*C8</f>
        <v/>
      </c>
      <c r="D23" s="12">
        <f>D6*D8</f>
        <v/>
      </c>
      <c r="E23" s="11" t="inlineStr">
        <is>
          <t>Guests × rate / guest</t>
        </is>
      </c>
    </row>
    <row r="24">
      <c r="B24" s="7" t="inlineStr">
        <is>
          <t>Photo &amp; video (2-day)</t>
        </is>
      </c>
      <c r="C24" s="10" t="inlineStr">
        <is>
          <t>6</t>
        </is>
      </c>
      <c r="D24" s="10" t="inlineStr">
        <is>
          <t>12</t>
        </is>
      </c>
      <c r="E24" s="11" t="inlineStr">
        <is>
          <t>Siraman day + wedding day</t>
        </is>
      </c>
    </row>
    <row r="25">
      <c r="B25" s="7" t="inlineStr">
        <is>
          <t>Wedding rings (both)</t>
        </is>
      </c>
      <c r="C25" s="8">
        <f>Assumptions!C10</f>
        <v/>
      </c>
      <c r="D25" s="8">
        <f>Assumptions!C10</f>
        <v/>
      </c>
      <c r="E25" s="11" t="inlineStr">
        <is>
          <t>Linked from Assumptions</t>
        </is>
      </c>
    </row>
    <row r="26">
      <c r="B26" s="7" t="inlineStr">
        <is>
          <t>Bride — paes MUA + adat busana</t>
        </is>
      </c>
      <c r="C26" s="10" t="inlineStr">
        <is>
          <t>10</t>
        </is>
      </c>
      <c r="D26" s="10" t="inlineStr">
        <is>
          <t>18</t>
        </is>
      </c>
      <c r="E26" s="11" t="inlineStr">
        <is>
          <t>Paes ageng across siraman, akad, reception</t>
        </is>
      </c>
    </row>
    <row r="27">
      <c r="B27" s="7" t="inlineStr">
        <is>
          <t>Groom — adat busana</t>
        </is>
      </c>
      <c r="C27" s="10" t="inlineStr">
        <is>
          <t>4</t>
        </is>
      </c>
      <c r="D27" s="10" t="inlineStr">
        <is>
          <t>6</t>
        </is>
      </c>
      <c r="E27" s="11" t="inlineStr">
        <is>
          <t>Wedding day: beskap, blangkon, keris. Engagement: light grey double-breasted suit. Loafers already bought</t>
        </is>
      </c>
    </row>
    <row r="28">
      <c r="B28" s="7" t="inlineStr">
        <is>
          <t>Family adat attire</t>
        </is>
      </c>
      <c r="C28" s="10" t="inlineStr">
        <is>
          <t>2</t>
        </is>
      </c>
      <c r="D28" s="10" t="inlineStr">
        <is>
          <t>4</t>
        </is>
      </c>
      <c r="E28" s="11" t="inlineStr">
        <is>
          <t>Coordinated kebaya/beskap for the parents</t>
        </is>
      </c>
    </row>
    <row r="29">
      <c r="B29" s="7" t="inlineStr">
        <is>
          <t>Invitations</t>
        </is>
      </c>
      <c r="C29" s="10" t="inlineStr">
        <is>
          <t>0.3</t>
        </is>
      </c>
      <c r="D29" s="10" t="inlineStr">
        <is>
          <t>1.5</t>
        </is>
      </c>
      <c r="E29" s="11" t="inlineStr">
        <is>
          <t>A: digital · B: digital + printed</t>
        </is>
      </c>
    </row>
    <row r="30">
      <c r="B30" s="7" t="inlineStr">
        <is>
          <t>Mahar (dowry)</t>
        </is>
      </c>
      <c r="C30" s="10" t="inlineStr">
        <is>
          <t>1</t>
        </is>
      </c>
      <c r="D30" s="10" t="inlineStr">
        <is>
          <t>3</t>
        </is>
      </c>
      <c r="E30" s="11" t="inlineStr">
        <is>
          <t>Symbolic — set to your intention</t>
        </is>
      </c>
    </row>
    <row r="31">
      <c r="B31" s="7" t="inlineStr">
        <is>
          <t>Transport &amp; misc</t>
        </is>
      </c>
      <c r="C31" s="10" t="inlineStr">
        <is>
          <t>2</t>
        </is>
      </c>
      <c r="D31" s="10" t="inlineStr">
        <is>
          <t>3.5</t>
        </is>
      </c>
      <c r="E31" s="11" t="inlineStr">
        <is>
          <t>Two-day logistics, cars, tips</t>
        </is>
      </c>
    </row>
    <row r="32">
      <c r="B32" s="17" t="inlineStr">
        <is>
          <t>Subtotal</t>
        </is>
      </c>
      <c r="C32" s="18">
        <f>SUM(C11:C31)</f>
        <v/>
      </c>
      <c r="D32" s="18">
        <f>SUM(D11:D31)</f>
        <v/>
      </c>
      <c r="E32" s="19" t="inlineStr">
        <is>
          <t>Sum of the line items above</t>
        </is>
      </c>
    </row>
    <row r="33">
      <c r="B33" s="15" t="inlineStr">
        <is>
          <t>Contingency</t>
        </is>
      </c>
      <c r="C33" s="12">
        <f>C32*Assumptions!C12</f>
        <v/>
      </c>
      <c r="D33" s="12">
        <f>D32*Assumptions!C12</f>
        <v/>
      </c>
      <c r="E33" s="20">
        <f>"Buffer @ "&amp;TEXT(Assumptions!C12,"0%")</f>
        <v/>
      </c>
    </row>
    <row r="40">
      <c r="B40" s="26" t="inlineStr">
        <is>
          <t>WEDDING GRAND TOTAL</t>
        </is>
      </c>
      <c r="C40" s="27">
        <f>C32+C33</f>
        <v/>
      </c>
      <c r="D40" s="27">
        <f>D32+D33</f>
        <v/>
      </c>
      <c r="E40" s="28" t="inlineStr">
        <is>
          <t>Subtotal + contingency — the number to fund</t>
        </is>
      </c>
    </row>
    <row r="41">
      <c r="B41" s="29" t="inlineStr">
        <is>
          <t>Option B minus Option A</t>
        </is>
      </c>
      <c r="C41" s="30">
        <f>D40-C40</f>
        <v/>
      </c>
      <c r="D41" s="31" t="inlineStr">
        <is>
          <t>extra for B</t>
        </is>
      </c>
    </row>
  </sheetData>
  <mergeCells count="1"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5" customWidth="1" min="3" max="3"/>
    <col width="13" customWidth="1" min="4" max="4"/>
    <col width="16" customWidth="1" min="5" max="5"/>
    <col width="15" customWidth="1" min="6" max="6"/>
    <col width="26" customWidth="1" min="7" max="7"/>
  </cols>
  <sheetData>
    <row r="2">
      <c r="B2" s="1" t="inlineStr">
        <is>
          <t>Cashflow projection</t>
        </is>
      </c>
    </row>
    <row r="3">
      <c r="B3" s="2" t="inlineStr">
        <is>
          <t>Opening + saving − planned outflow = closing. The engagement outflow lands in Nov 2026. All Rp mio.</t>
        </is>
      </c>
    </row>
    <row r="4">
      <c r="B4" s="6" t="inlineStr">
        <is>
          <t>Month</t>
        </is>
      </c>
      <c r="C4" s="6" t="inlineStr">
        <is>
          <t>Opening</t>
        </is>
      </c>
      <c r="D4" s="6" t="inlineStr">
        <is>
          <t>Saving</t>
        </is>
      </c>
      <c r="E4" s="6" t="inlineStr">
        <is>
          <t>Engagement out</t>
        </is>
      </c>
      <c r="F4" s="6" t="inlineStr">
        <is>
          <t>Closing</t>
        </is>
      </c>
      <c r="G4" s="6" t="inlineStr">
        <is>
          <t>Milestone</t>
        </is>
      </c>
    </row>
    <row r="5">
      <c r="B5" s="32" t="inlineStr">
        <is>
          <t>Sep 2026</t>
        </is>
      </c>
      <c r="C5" s="8">
        <f>Assumptions!C5</f>
        <v/>
      </c>
      <c r="D5" s="8">
        <f>Assumptions!C8</f>
        <v/>
      </c>
      <c r="E5" s="12" t="n">
        <v>0</v>
      </c>
      <c r="F5" s="22">
        <f>C5+D5-E5</f>
        <v/>
      </c>
      <c r="G5" s="11" t="inlineStr"/>
    </row>
    <row r="6">
      <c r="B6" s="32" t="inlineStr">
        <is>
          <t>Oct 2026</t>
        </is>
      </c>
      <c r="C6" s="12">
        <f>F5</f>
        <v/>
      </c>
      <c r="D6" s="8">
        <f>Assumptions!C8</f>
        <v/>
      </c>
      <c r="E6" s="12" t="n">
        <v>0</v>
      </c>
      <c r="F6" s="22">
        <f>C6+D6-E6</f>
        <v/>
      </c>
      <c r="G6" s="11" t="inlineStr"/>
    </row>
    <row r="7">
      <c r="B7" s="32" t="inlineStr">
        <is>
          <t>Nov 2026</t>
        </is>
      </c>
      <c r="C7" s="12">
        <f>F6</f>
        <v/>
      </c>
      <c r="D7" s="8">
        <f>Assumptions!C8</f>
        <v/>
      </c>
      <c r="E7" s="8">
        <f>Engagement!C14</f>
        <v/>
      </c>
      <c r="F7" s="22">
        <f>C7+D7-E7</f>
        <v/>
      </c>
      <c r="G7" s="11" t="inlineStr">
        <is>
          <t>Engagement + ring</t>
        </is>
      </c>
    </row>
    <row r="8">
      <c r="B8" s="32" t="inlineStr">
        <is>
          <t>Dec 2026</t>
        </is>
      </c>
      <c r="C8" s="12">
        <f>F7</f>
        <v/>
      </c>
      <c r="D8" s="8">
        <f>Assumptions!C8</f>
        <v/>
      </c>
      <c r="E8" s="12" t="n">
        <v>0</v>
      </c>
      <c r="F8" s="22">
        <f>C8+D8-E8</f>
        <v/>
      </c>
      <c r="G8" s="11" t="inlineStr"/>
    </row>
    <row r="9">
      <c r="B9" s="32" t="inlineStr">
        <is>
          <t>Jan 2027</t>
        </is>
      </c>
      <c r="C9" s="12">
        <f>F8</f>
        <v/>
      </c>
      <c r="D9" s="8">
        <f>Assumptions!C8</f>
        <v/>
      </c>
      <c r="E9" s="12" t="n">
        <v>0</v>
      </c>
      <c r="F9" s="22">
        <f>C9+D9-E9</f>
        <v/>
      </c>
      <c r="G9" s="11" t="inlineStr"/>
    </row>
    <row r="10">
      <c r="B10" s="32" t="inlineStr">
        <is>
          <t>Feb 2027</t>
        </is>
      </c>
      <c r="C10" s="12">
        <f>F9</f>
        <v/>
      </c>
      <c r="D10" s="8">
        <f>Assumptions!C8</f>
        <v/>
      </c>
      <c r="E10" s="12" t="n">
        <v>0</v>
      </c>
      <c r="F10" s="22">
        <f>C10+D10-E10</f>
        <v/>
      </c>
      <c r="G10" s="11" t="inlineStr"/>
    </row>
    <row r="11">
      <c r="B11" s="32" t="inlineStr">
        <is>
          <t>Mar 2027</t>
        </is>
      </c>
      <c r="C11" s="12">
        <f>F10</f>
        <v/>
      </c>
      <c r="D11" s="8">
        <f>Assumptions!C8</f>
        <v/>
      </c>
      <c r="E11" s="12" t="n">
        <v>0</v>
      </c>
      <c r="F11" s="22">
        <f>C11+D11-E11</f>
        <v/>
      </c>
      <c r="G11" s="11" t="inlineStr"/>
    </row>
    <row r="12">
      <c r="B12" s="32" t="inlineStr">
        <is>
          <t>Apr 2027</t>
        </is>
      </c>
      <c r="C12" s="12">
        <f>F11</f>
        <v/>
      </c>
      <c r="D12" s="8">
        <f>Assumptions!C8</f>
        <v/>
      </c>
      <c r="E12" s="12" t="n">
        <v>0</v>
      </c>
      <c r="F12" s="22">
        <f>C12+D12-E12</f>
        <v/>
      </c>
      <c r="G12" s="11" t="inlineStr"/>
    </row>
    <row r="13">
      <c r="B13" s="32" t="inlineStr">
        <is>
          <t>May 2027</t>
        </is>
      </c>
      <c r="C13" s="12">
        <f>F12</f>
        <v/>
      </c>
      <c r="D13" s="8">
        <f>Assumptions!C8</f>
        <v/>
      </c>
      <c r="E13" s="12" t="n">
        <v>0</v>
      </c>
      <c r="F13" s="22">
        <f>C13+D13-E13</f>
        <v/>
      </c>
      <c r="G13" s="11" t="inlineStr"/>
    </row>
    <row r="14">
      <c r="B14" s="32" t="inlineStr">
        <is>
          <t>Jun 2027</t>
        </is>
      </c>
      <c r="C14" s="12">
        <f>F13</f>
        <v/>
      </c>
      <c r="D14" s="8">
        <f>Assumptions!C8</f>
        <v/>
      </c>
      <c r="E14" s="12" t="n">
        <v>0</v>
      </c>
      <c r="F14" s="22">
        <f>C14+D14-E14</f>
        <v/>
      </c>
      <c r="G14" s="11" t="inlineStr">
        <is>
          <t>← Option A window</t>
        </is>
      </c>
    </row>
    <row r="15">
      <c r="B15" s="32" t="inlineStr">
        <is>
          <t>Jul 2027</t>
        </is>
      </c>
      <c r="C15" s="12">
        <f>F14</f>
        <v/>
      </c>
      <c r="D15" s="8">
        <f>Assumptions!C8</f>
        <v/>
      </c>
      <c r="E15" s="12" t="n">
        <v>0</v>
      </c>
      <c r="F15" s="22">
        <f>C15+D15-E15</f>
        <v/>
      </c>
      <c r="G15" s="11" t="inlineStr"/>
    </row>
    <row r="16">
      <c r="B16" s="32" t="inlineStr">
        <is>
          <t>Aug 2027</t>
        </is>
      </c>
      <c r="C16" s="12">
        <f>F15</f>
        <v/>
      </c>
      <c r="D16" s="8">
        <f>Assumptions!C8</f>
        <v/>
      </c>
      <c r="E16" s="12" t="n">
        <v>0</v>
      </c>
      <c r="F16" s="22">
        <f>C16+D16-E16</f>
        <v/>
      </c>
      <c r="G16" s="11" t="inlineStr"/>
    </row>
    <row r="17">
      <c r="B17" s="32" t="inlineStr">
        <is>
          <t>Sep 2027</t>
        </is>
      </c>
      <c r="C17" s="12">
        <f>F16</f>
        <v/>
      </c>
      <c r="D17" s="8">
        <f>Assumptions!C8</f>
        <v/>
      </c>
      <c r="E17" s="12" t="n">
        <v>0</v>
      </c>
      <c r="F17" s="22">
        <f>C17+D17-E17</f>
        <v/>
      </c>
      <c r="G17" s="11" t="inlineStr">
        <is>
          <t>← Option A window</t>
        </is>
      </c>
    </row>
    <row r="18">
      <c r="B18" s="32" t="inlineStr">
        <is>
          <t>Oct 2027</t>
        </is>
      </c>
      <c r="C18" s="12">
        <f>F17</f>
        <v/>
      </c>
      <c r="D18" s="8">
        <f>Assumptions!C8</f>
        <v/>
      </c>
      <c r="E18" s="12" t="n">
        <v>0</v>
      </c>
      <c r="F18" s="22">
        <f>C18+D18-E18</f>
        <v/>
      </c>
      <c r="G18" s="11" t="inlineStr"/>
    </row>
    <row r="19">
      <c r="B19" s="32" t="inlineStr">
        <is>
          <t>Nov 2027</t>
        </is>
      </c>
      <c r="C19" s="12">
        <f>F18</f>
        <v/>
      </c>
      <c r="D19" s="8">
        <f>Assumptions!C8</f>
        <v/>
      </c>
      <c r="E19" s="12" t="n">
        <v>0</v>
      </c>
      <c r="F19" s="22">
        <f>C19+D19-E19</f>
        <v/>
      </c>
      <c r="G19" s="11" t="inlineStr"/>
    </row>
    <row r="20">
      <c r="B20" s="32" t="inlineStr">
        <is>
          <t>Dec 2027</t>
        </is>
      </c>
      <c r="C20" s="12">
        <f>F19</f>
        <v/>
      </c>
      <c r="D20" s="8">
        <f>Assumptions!C8</f>
        <v/>
      </c>
      <c r="E20" s="12" t="n">
        <v>0</v>
      </c>
      <c r="F20" s="22">
        <f>C20+D20-E20</f>
        <v/>
      </c>
      <c r="G20" s="11" t="inlineStr">
        <is>
          <t>← Option B window</t>
        </is>
      </c>
    </row>
    <row r="22">
      <c r="B22" s="33" t="inlineStr">
        <is>
          <t>Note</t>
        </is>
      </c>
      <c r="C22" s="31" t="inlineStr">
        <is>
          <t>Closing balance = money you could put on the wedding that month. Compare it to the Wedding Budget grand totals.</t>
        </is>
      </c>
    </row>
  </sheetData>
  <mergeCells count="2">
    <mergeCell ref="B3:G3"/>
    <mergeCell ref="C22:G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5" customWidth="1" min="4" max="4"/>
    <col width="15" customWidth="1" min="5" max="5"/>
    <col width="15" customWidth="1" min="6" max="6"/>
    <col width="34" customWidth="1" min="7" max="7"/>
  </cols>
  <sheetData>
    <row r="2">
      <c r="B2" s="1" t="inlineStr">
        <is>
          <t>Timeline scenarios</t>
        </is>
      </c>
    </row>
    <row r="3">
      <c r="B3" s="2" t="inlineStr">
        <is>
          <t>Same savings plan, three wedding dates. 'Funds available' is that month's closing balance from Cashflow.</t>
        </is>
      </c>
    </row>
    <row r="5">
      <c r="B5" s="6" t="inlineStr">
        <is>
          <t>Scenario</t>
        </is>
      </c>
      <c r="C5" s="6" t="inlineStr">
        <is>
          <t>Wedding</t>
        </is>
      </c>
      <c r="D5" s="6" t="inlineStr">
        <is>
          <t>Funds avail.</t>
        </is>
      </c>
      <c r="E5" s="6" t="inlineStr">
        <is>
          <t>Option A gap</t>
        </is>
      </c>
      <c r="F5" s="6" t="inlineStr">
        <is>
          <t>Option B gap</t>
        </is>
      </c>
      <c r="G5" s="6" t="inlineStr">
        <is>
          <t>Read</t>
        </is>
      </c>
    </row>
    <row r="6">
      <c r="B6" s="34" t="inlineStr">
        <is>
          <t>1 · Intimate &amp; earliest</t>
        </is>
      </c>
      <c r="C6" s="32" t="inlineStr">
        <is>
          <t>Aug 2027</t>
        </is>
      </c>
      <c r="D6" s="8">
        <f>Cashflow!F16</f>
        <v/>
      </c>
      <c r="E6" s="12">
        <f>D6-'Wedding Budget'!C40</f>
        <v/>
      </c>
      <c r="F6" s="12">
        <f>D6-'Wedding Budget'!D40</f>
        <v/>
      </c>
      <c r="G6" s="11">
        <f>IF(E6&gt;=0,IF(F6&gt;=0,"Both A &amp; B funded ✓","Option A funded; B short"),"A short — add gifts/angpau or more months")</f>
        <v/>
      </c>
    </row>
    <row r="7">
      <c r="B7" s="34" t="inlineStr">
        <is>
          <t>2 · Comfortable cushion</t>
        </is>
      </c>
      <c r="C7" s="32" t="inlineStr">
        <is>
          <t>Nov 2027</t>
        </is>
      </c>
      <c r="D7" s="8">
        <f>Cashflow!F19</f>
        <v/>
      </c>
      <c r="E7" s="12">
        <f>D7-'Wedding Budget'!C40</f>
        <v/>
      </c>
      <c r="F7" s="12">
        <f>D7-'Wedding Budget'!D40</f>
        <v/>
      </c>
      <c r="G7" s="11">
        <f>IF(E7&gt;=0,IF(F7&gt;=0,"Both A &amp; B funded ✓","Option A funded; B short"),"A short — add gifts/angpau or more months")</f>
        <v/>
      </c>
    </row>
    <row r="8">
      <c r="B8" s="34" t="inlineStr">
        <is>
          <t>3 · Full grandeur (Opt B)</t>
        </is>
      </c>
      <c r="C8" s="32" t="inlineStr">
        <is>
          <t>Dec 2027</t>
        </is>
      </c>
      <c r="D8" s="8">
        <f>Cashflow!F20</f>
        <v/>
      </c>
      <c r="E8" s="12">
        <f>D8-'Wedding Budget'!C40</f>
        <v/>
      </c>
      <c r="F8" s="12">
        <f>D8-'Wedding Budget'!D40</f>
        <v/>
      </c>
      <c r="G8" s="11">
        <f>IF(E8&gt;=0,IF(F8&gt;=0,"Both A &amp; B funded ✓","Option A funded; B short"),"A short — add gifts/angpau or more months")</f>
        <v/>
      </c>
    </row>
    <row r="11">
      <c r="B11" s="31" t="inlineStr">
        <is>
          <t>Gap = funds available − wedding grand total.  Positive = surplus, negative = shortfall.</t>
        </is>
      </c>
    </row>
    <row r="12">
      <c r="B12" s="31" t="inlineStr">
        <is>
          <t>Upside not modelled: angpau/gift money at the reception often offsets 30–50% of catering. Treat it as a cushion, not a plan.</t>
        </is>
      </c>
    </row>
    <row r="13">
      <c r="B13" s="33" t="inlineStr">
        <is>
          <t>Recommendation</t>
        </is>
      </c>
    </row>
    <row r="14" ht="32" customHeight="1">
      <c r="B14" s="35" t="inlineStr">
        <is>
          <t>Option A — siraman + a full reception day at an intimate scale — clears around August 2027 and sits on a cushion by Oct–Nov. Option B (grander, ~100 guests) is a 2028 project, or needs a bigger monthly saving plus angpau.</t>
        </is>
      </c>
    </row>
  </sheetData>
  <mergeCells count="4">
    <mergeCell ref="B3:G3"/>
    <mergeCell ref="B14:G14"/>
    <mergeCell ref="B12:G1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2026-09-01T14:13:07Z</dcterms:created>
  <dcterms:modified xmlns:dcterms="http://purl.org/dc/terms/" xmlns:xsi="http://www.w3.org/2001/XMLSchema-instance" xsi:type="dcterms:W3CDTF">2026-09-01T14:13:07Z</dcterms:modified>
</cp:coreProperties>
</file>